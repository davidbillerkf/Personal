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Entry" sheetId="2" state="visible" r:id="rId2"/>
    <sheet name="Bank Import" sheetId="3" state="visible" r:id="rId3"/>
    <sheet name="Income" sheetId="4" state="visible" r:id="rId4"/>
    <sheet name="Expenses" sheetId="5" state="visible" r:id="rId5"/>
    <sheet name="Savings" sheetId="6" state="visible" r:id="rId6"/>
    <sheet name="Budget" sheetId="7" state="visible" r:id="rId7"/>
    <sheet name="Categories" sheetId="8" state="visible" r:id="rId8"/>
    <sheet name="Vendors" sheetId="9" state="visible" r:id="rId9"/>
    <sheet name="Accounts" sheetId="10" state="visible" r:id="rId10"/>
    <sheet name="Settings" sheetId="11" state="visible" r:id="rId11"/>
    <sheet name="Dim_Date" sheetId="12" state="hidden" r:id="rId12"/>
    <sheet name="ChartData" sheetId="13" state="hidden" r:id="rId13"/>
  </sheets>
  <definedNames>
    <definedName name="TodayDate">Settings!$B$5</definedName>
    <definedName name="CurMonthStart">Settings!$B$6</definedName>
    <definedName name="CurMonthEnd">Settings!$B$7</definedName>
    <definedName name="LastMonthStart">Settings!$B$8</definedName>
    <definedName name="LastMonthEnd">Settings!$B$9</definedName>
    <definedName name="CurYearStart">Settings!$B$10</definedName>
    <definedName name="CurYearEnd">Settings!$B$11</definedName>
    <definedName name="List_YesNo">Settings!$A$25:$A$26</definedName>
    <definedName name="List_NeedWant">Settings!$B$25:$B$26</definedName>
    <definedName name="PaymentMethodList">Dim_PaymentMethod[MethodName]</definedName>
    <definedName name="CategoryNameList">Dim_Category[CategoryName]</definedName>
    <definedName name="ExpenseCategoryList">Dim_Category[CategoryName]</definedName>
    <definedName name="VendorNameList">Dim_Vendor[VendorName]</definedName>
    <definedName name="AccountNameList">Dim_Account[AccountName]</definedName>
    <definedName name="SourceNameList">Dim_Source[SourceName]</definedName>
    <definedName name="SignConvention">'Bank Import'!$D$13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yyyy-mm-dd"/>
    <numFmt numFmtId="166" formatCode="$#,##0.00;[RED]($#,##0.00)"/>
    <numFmt numFmtId="167" formatCode="$#,##0;[RED]($#,##0)"/>
    <numFmt numFmtId="168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color rgb="001F2937"/>
      <sz val="10"/>
    </font>
    <font>
      <name val="Arial"/>
      <b val="1"/>
      <color rgb="002563EB"/>
      <sz val="10"/>
    </font>
    <font>
      <name val="Arial"/>
      <b val="1"/>
      <color rgb="00FFFFFF"/>
      <sz val="10"/>
    </font>
    <font>
      <name val="Arial"/>
      <color rgb="002563EB"/>
      <sz val="10"/>
    </font>
    <font>
      <name val="Arial"/>
      <b val="1"/>
      <color rgb="001F2937"/>
      <sz val="10"/>
    </font>
    <font>
      <name val="Arial"/>
      <b val="1"/>
      <color rgb="006B7280"/>
      <sz val="9"/>
    </font>
    <font>
      <name val="Arial"/>
      <b val="1"/>
      <color rgb="001F2937"/>
      <sz val="18"/>
    </font>
    <font>
      <name val="Arial"/>
      <b val="1"/>
      <color rgb="001F2937"/>
      <sz val="11"/>
    </font>
    <font>
      <name val="Arial"/>
      <i val="1"/>
      <color rgb="006B7280"/>
      <sz val="9"/>
    </font>
    <font>
      <name val="Arial"/>
      <b val="1"/>
      <color rgb="0015803D"/>
      <sz val="18"/>
    </font>
    <font>
      <name val="Arial"/>
      <b val="1"/>
      <color rgb="00B91C1C"/>
      <sz val="18"/>
    </font>
    <font>
      <name val="Arial"/>
      <b val="1"/>
      <color rgb="00C2650B"/>
      <sz val="18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F2937"/>
      <sz val="9"/>
    </font>
    <font>
      <name val="Arial"/>
      <b val="1"/>
      <color rgb="001F2937"/>
      <sz val="9"/>
    </font>
    <font>
      <name val="Arial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bottom" indent="1"/>
    </xf>
    <xf numFmtId="0" fontId="0" fillId="2" borderId="0" pivotButton="0" quotePrefix="0" xfId="0"/>
    <xf numFmtId="0" fontId="11" fillId="0" borderId="0" pivotButton="0" quotePrefix="0" xfId="0"/>
    <xf numFmtId="0" fontId="8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167" fontId="12" fillId="3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167" fontId="13" fillId="3" borderId="1" applyAlignment="1" pivotButton="0" quotePrefix="0" xfId="0">
      <alignment horizontal="left" vertical="center" indent="1"/>
    </xf>
    <xf numFmtId="167" fontId="9" fillId="3" borderId="1" applyAlignment="1" pivotButton="0" quotePrefix="0" xfId="0">
      <alignment horizontal="left" vertical="center" indent="1"/>
    </xf>
    <xf numFmtId="168" fontId="9" fillId="3" borderId="1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3" borderId="1" pivotButton="0" quotePrefix="0" xfId="0"/>
    <xf numFmtId="168" fontId="14" fillId="3" borderId="1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16" fillId="2" borderId="0" pivotButton="0" quotePrefix="0" xfId="0"/>
    <xf numFmtId="0" fontId="17" fillId="0" borderId="0" pivotButton="0" quotePrefix="0" xfId="0"/>
    <xf numFmtId="166" fontId="17" fillId="0" borderId="0" pivotButton="0" quotePrefix="0" xfId="0"/>
    <xf numFmtId="168" fontId="18" fillId="0" borderId="0" pivotButton="0" quotePrefix="0" xfId="0"/>
    <xf numFmtId="166" fontId="18" fillId="0" borderId="0" pivotButton="0" quotePrefix="0" xfId="0"/>
    <xf numFmtId="164" fontId="17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166" fontId="0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8" fontId="3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horizontal="left" vertical="center"/>
    </xf>
    <xf numFmtId="164" fontId="4" fillId="0" borderId="0" pivotButton="0" quotePrefix="0" xfId="0"/>
    <xf numFmtId="0" fontId="5" fillId="2" borderId="0" pivotButton="0" quotePrefix="0" xfId="0"/>
    <xf numFmtId="17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9">
    <dxf>
      <font>
        <b val="1"/>
        <color rgb="00B91C1C"/>
      </font>
      <fill>
        <patternFill patternType="solid">
          <fgColor rgb="00FEE2E2"/>
          <bgColor rgb="00FEE2E2"/>
        </patternFill>
      </fill>
    </dxf>
    <dxf>
      <font>
        <color rgb="00C2650B"/>
      </font>
      <fill>
        <patternFill patternType="solid">
          <fgColor rgb="00FEF3C7"/>
          <bgColor rgb="00FEF3C7"/>
        </patternFill>
      </fill>
    </dxf>
    <dxf>
      <font>
        <color rgb="0015803D"/>
      </font>
      <fill>
        <patternFill patternType="solid">
          <fgColor rgb="00DCFCE7"/>
          <bgColor rgb="00DCFCE7"/>
        </patternFill>
      </fill>
    </dxf>
    <dxf>
      <font>
        <color rgb="00B91C1C"/>
      </font>
    </dxf>
    <dxf>
      <font>
        <color rgb="0015803D"/>
      </font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CFCE7"/>
          <bgColor rgb="00DCFCE7"/>
        </patternFill>
      </fill>
    </dxf>
    <dxf>
      <font>
        <b val="1"/>
        <color rgb="00C2650B"/>
      </font>
      <fill>
        <patternFill patternType="solid">
          <fgColor rgb="00FEF3C7"/>
          <bgColor rgb="00FEF3C7"/>
        </patternFill>
      </fill>
    </dxf>
    <dxf>
      <font>
        <b val="1"/>
        <color rgb="0015803D"/>
      </font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— Trailing 13 Months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'ChartData'!C1</f>
            </strRef>
          </tx>
          <spPr>
            <a:solidFill>
              <a:srgbClr val="15803D"/>
            </a:solidFill>
            <a:ln>
              <a:prstDash val="solid"/>
            </a:ln>
          </spPr>
          <cat>
            <numRef>
              <f>'ChartData'!$A$2:$A$14</f>
            </numRef>
          </cat>
          <val>
            <numRef>
              <f>'ChartData'!$C$2:$C$14</f>
            </numRef>
          </val>
        </ser>
        <ser>
          <idx val="1"/>
          <order val="1"/>
          <tx>
            <strRef>
              <f>'ChartData'!D1</f>
            </strRef>
          </tx>
          <spPr>
            <a:solidFill>
              <a:srgbClr val="B91C1C"/>
            </a:solidFill>
            <a:ln>
              <a:prstDash val="solid"/>
            </a:ln>
          </spPr>
          <cat>
            <numRef>
              <f>'ChartData'!$A$2:$A$14</f>
            </numRef>
          </cat>
          <val>
            <numRef>
              <f>'ChartData'!$D$2:$D$14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Breakdown — This Month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'Budget'!C10</f>
            </strRef>
          </tx>
          <spPr>
            <a:ln>
              <a:prstDash val="solid"/>
            </a:ln>
          </spPr>
          <cat>
            <numRef>
              <f>'Budget'!$A$11:$A$20</f>
            </numRef>
          </cat>
          <val>
            <numRef>
              <f>'Budget'!$C$11:$C$20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Trend — Trailing 13 Months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'ChartData'!D1</f>
            </strRef>
          </tx>
          <spPr>
            <a:ln>
              <a:solidFill>
                <a:srgbClr val="B91C1C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'ChartData'!$A$2:$A$14</f>
            </numRef>
          </cat>
          <val>
            <numRef>
              <f>'ChartData'!$D$2:$D$14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Savings Growth — Cumulative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'ChartData'!F1</f>
            </strRef>
          </tx>
          <spPr>
            <a:ln>
              <a:solidFill>
                <a:srgbClr val="1580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'ChartData'!$A$2:$A$14</f>
            </numRef>
          </cat>
          <val>
            <numRef>
              <f>'ChartData'!$F$2:$F$14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Performance — Actual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'Budget'!B10</f>
            </strRef>
          </tx>
          <spPr>
            <a:solidFill>
              <a:srgbClr val="9CA3AF"/>
            </a:solidFill>
            <a:ln>
              <a:prstDash val="solid"/>
            </a:ln>
          </spPr>
          <cat>
            <numRef>
              <f>'Budget'!$A$11:$A$20</f>
            </numRef>
          </cat>
          <val>
            <numRef>
              <f>'Budget'!$B$11:$B$20</f>
            </numRef>
          </val>
        </ser>
        <ser>
          <idx val="1"/>
          <order val="1"/>
          <tx>
            <strRef>
              <f>'Budget'!C10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'Budget'!$A$11:$A$20</f>
            </numRef>
          </cat>
          <val>
            <numRef>
              <f>'Budget'!$C$11:$C$20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32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32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49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nkImportRaw" displayName="BankImportRaw" ref="A16:K516" headerRowCount="1">
  <autoFilter ref="A16:K516"/>
  <tableColumns count="11">
    <tableColumn id="1" name="Date"/>
    <tableColumn id="2" name="Description"/>
    <tableColumn id="3" name="Amount"/>
    <tableColumn id="4" name="VendorName"/>
    <tableColumn id="5" name="CategoryName"/>
    <tableColumn id="6" name="AccountName"/>
    <tableColumn id="7" name="PaymentMethod"/>
    <tableColumn id="8" name="TransactionType"/>
    <tableColumn id="9" name="AbsAmount"/>
    <tableColumn id="10" name="NeedWantFlag"/>
    <tableColumn id="11" name="Notes"/>
  </tableColumns>
  <tableStyleInfo name="TableStyleMedium9" showRowStripes="1"/>
</table>
</file>

<file path=xl/tables/table2.xml><?xml version="1.0" encoding="utf-8"?>
<table xmlns="http://schemas.openxmlformats.org/spreadsheetml/2006/main" id="2" name="Dim_Source" displayName="Dim_Source" ref="A5:B7" headerRowCount="1">
  <autoFilter ref="A5:B7"/>
  <tableColumns count="2">
    <tableColumn id="1" name="SourceID"/>
    <tableColumn id="2" name="SourceName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Fact_Income" displayName="Fact_Income" ref="A11:N37" headerRowCount="1">
  <autoFilter ref="A11:N37"/>
  <tableColumns count="14">
    <tableColumn id="1" name="IncomeID"/>
    <tableColumn id="2" name="Date"/>
    <tableColumn id="3" name="SourceName"/>
    <tableColumn id="4" name="SourceID"/>
    <tableColumn id="5" name="CategoryName"/>
    <tableColumn id="6" name="CategoryID"/>
    <tableColumn id="7" name="AccountName"/>
    <tableColumn id="8" name="AccountID"/>
    <tableColumn id="9" name="GrossAmount"/>
    <tableColumn id="10" name="TaxesWithheld"/>
    <tableColumn id="11" name="NetAmount"/>
    <tableColumn id="12" name="RecurringFlag"/>
    <tableColumn id="13" name="Notes"/>
    <tableColumn id="14" name="Description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Fact_Expenses" displayName="Fact_Expenses" ref="A5:P197" headerRowCount="1">
  <autoFilter ref="A5:P197"/>
  <tableColumns count="16">
    <tableColumn id="1" name="ExpenseID"/>
    <tableColumn id="2" name="Date"/>
    <tableColumn id="3" name="VendorName"/>
    <tableColumn id="4" name="VendorID"/>
    <tableColumn id="5" name="CategoryName"/>
    <tableColumn id="6" name="CategoryID"/>
    <tableColumn id="7" name="AccountName"/>
    <tableColumn id="8" name="AccountID"/>
    <tableColumn id="9" name="PaymentMethod"/>
    <tableColumn id="10" name="PaymentMethodID"/>
    <tableColumn id="11" name="Amount"/>
    <tableColumn id="12" name="NeedWantFlag"/>
    <tableColumn id="13" name="RecurringFlag"/>
    <tableColumn id="14" name="Notes"/>
    <tableColumn id="15" name="Description"/>
    <tableColumn id="16" name="CurMonthAmt"/>
  </tableColumns>
  <tableStyleInfo name="TableStyleMedium9" showFirstColumn="0" showRowStripes="1"/>
</table>
</file>

<file path=xl/tables/table5.xml><?xml version="1.0" encoding="utf-8"?>
<table xmlns="http://schemas.openxmlformats.org/spreadsheetml/2006/main" id="5" name="Dim_Goal" displayName="Dim_Goal" ref="A10:J13" headerRowCount="1">
  <autoFilter ref="A10:J13"/>
  <tableColumns count="10">
    <tableColumn id="1" name="GoalID"/>
    <tableColumn id="2" name="GoalName"/>
    <tableColumn id="3" name="TargetAmount"/>
    <tableColumn id="4" name="TargetDate"/>
    <tableColumn id="5" name="Priority"/>
    <tableColumn id="6" name="CurrentAmount"/>
    <tableColumn id="7" name="Remaining"/>
    <tableColumn id="8" name="Completion %"/>
    <tableColumn id="9" name="Avg Monthly Contribution"/>
    <tableColumn id="10" name="Projected Completion Date"/>
  </tableColumns>
  <tableStyleInfo name="TableStyleMedium9" showFirstColumn="0" showRowStripes="1"/>
</table>
</file>

<file path=xl/tables/table6.xml><?xml version="1.0" encoding="utf-8"?>
<table xmlns="http://schemas.openxmlformats.org/spreadsheetml/2006/main" id="6" name="Fact_SavingsTransfers" displayName="Fact_SavingsTransfers" ref="A17:G39" headerRowCount="1">
  <autoFilter ref="A17:G39"/>
  <tableColumns count="7">
    <tableColumn id="1" name="TransferID"/>
    <tableColumn id="2" name="Date"/>
    <tableColumn id="3" name="GoalName"/>
    <tableColumn id="4" name="GoalID"/>
    <tableColumn id="5" name="AccountName"/>
    <tableColumn id="6" name="AccountID"/>
    <tableColumn id="7" name="Amount"/>
  </tableColumns>
  <tableStyleInfo name="TableStyleMedium9" showFirstColumn="0" showRowStripes="1"/>
</table>
</file>

<file path=xl/tables/table7.xml><?xml version="1.0" encoding="utf-8"?>
<table xmlns="http://schemas.openxmlformats.org/spreadsheetml/2006/main" id="7" name="Budget" displayName="Budget" ref="A10:G20" headerRowCount="1">
  <autoFilter ref="A10:G20"/>
  <tableColumns count="7">
    <tableColumn id="1" name="CategoryName"/>
    <tableColumn id="2" name="MonthlyBudget"/>
    <tableColumn id="3" name="Actual"/>
    <tableColumn id="4" name="Remaining"/>
    <tableColumn id="5" name="Variance %"/>
    <tableColumn id="6" name="Status"/>
    <tableColumn id="7" name="Progress"/>
  </tableColumns>
  <tableStyleInfo name="TableStyleMedium9" showFirstColumn="0" showRowStripes="1"/>
</table>
</file>

<file path=xl/tables/table8.xml><?xml version="1.0" encoding="utf-8"?>
<table xmlns="http://schemas.openxmlformats.org/spreadsheetml/2006/main" id="8" name="Dim_Category" displayName="Dim_Category" ref="A5:D17" headerRowCount="1">
  <autoFilter ref="A5:D17"/>
  <tableColumns count="4">
    <tableColumn id="1" name="CategoryID"/>
    <tableColumn id="2" name="CategoryName"/>
    <tableColumn id="3" name="CategoryType"/>
    <tableColumn id="4" name="EssentialCategory"/>
  </tableColumns>
  <tableStyleInfo name="TableStyleMedium9" showFirstColumn="0" showRowStripes="1"/>
</table>
</file>

<file path=xl/tables/table9.xml><?xml version="1.0" encoding="utf-8"?>
<table xmlns="http://schemas.openxmlformats.org/spreadsheetml/2006/main" id="9" name="Dim_Vendor" displayName="Dim_Vendor" ref="A5:E23" headerRowCount="1">
  <autoFilter ref="A5:E23"/>
  <tableColumns count="5">
    <tableColumn id="1" name="VendorID"/>
    <tableColumn id="2" name="VendorName"/>
    <tableColumn id="3" name="DefaultCategoryID"/>
    <tableColumn id="4" name="CurMonthSpend"/>
    <tableColumn id="5" name="YTDSpend"/>
  </tableColumns>
  <tableStyleInfo name="TableStyleMedium9" showFirstColumn="0" showRowStripes="1"/>
</table>
</file>

<file path=xl/tables/table10.xml><?xml version="1.0" encoding="utf-8"?>
<table xmlns="http://schemas.openxmlformats.org/spreadsheetml/2006/main" id="10" name="Dim_Account" displayName="Dim_Account" ref="A5:D8" headerRowCount="1">
  <autoFilter ref="A5:D8"/>
  <tableColumns count="4">
    <tableColumn id="1" name="AccountID"/>
    <tableColumn id="2" name="AccountName"/>
    <tableColumn id="3" name="AccountType"/>
    <tableColumn id="4" name="Balance"/>
  </tableColumns>
  <tableStyleInfo name="TableStyleMedium9" showFirstColumn="0" showRowStripes="1"/>
</table>
</file>

<file path=xl/tables/table11.xml><?xml version="1.0" encoding="utf-8"?>
<table xmlns="http://schemas.openxmlformats.org/spreadsheetml/2006/main" id="11" name="Dim_PaymentMethod" displayName="Dim_PaymentMethod" ref="A15:B20" headerRowCount="1">
  <autoFilter ref="A15:B20"/>
  <tableColumns count="2">
    <tableColumn id="1" name="PaymentMethodID"/>
    <tableColumn id="2" name="MethodName"/>
  </tableColumns>
  <tableStyleInfo name="TableStyleMedium9" showFirstColumn="0" showRowStripes="1"/>
</table>
</file>

<file path=xl/tables/table12.xml><?xml version="1.0" encoding="utf-8"?>
<table xmlns="http://schemas.openxmlformats.org/spreadsheetml/2006/main" id="12" name="Dim_Date" displayName="Dim_Date" ref="A1:F1096" headerRowCount="1">
  <autoFilter ref="A1:F1096"/>
  <tableColumns count="6">
    <tableColumn id="1" name="DateID"/>
    <tableColumn id="2" name="Date"/>
    <tableColumn id="3" name="Month"/>
    <tableColumn id="4" name="MonthNumber"/>
    <tableColumn id="5" name="Quarter"/>
    <tableColumn id="6" name="Yea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#'Bank Import'!A1" TargetMode="External" Id="rId1" /><Relationship Type="http://schemas.openxmlformats.org/officeDocument/2006/relationships/hyperlink" Target="#'Income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Savings'!A1" TargetMode="External" Id="rId4" /><Relationship Type="http://schemas.openxmlformats.org/officeDocument/2006/relationships/hyperlink" Target="#'Budget'!A1" TargetMode="External" Id="rId5" /><Relationship Type="http://schemas.openxmlformats.org/officeDocument/2006/relationships/hyperlink" Target="#'Categories'!A1" TargetMode="External" Id="rId6" /><Relationship Type="http://schemas.openxmlformats.org/officeDocument/2006/relationships/hyperlink" Target="#'Vendors'!A1" TargetMode="External" Id="rId7" /><Relationship Type="http://schemas.openxmlformats.org/officeDocument/2006/relationships/hyperlink" Target="#'Accounts'!A1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showGridLines="0" zoomScale="9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</cols>
  <sheetData>
    <row r="1" ht="30" customHeight="1">
      <c r="A1" s="1" t="inlineStr">
        <is>
          <t>Personal Finance Planner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>
        <f>"Data as of " &amp; TEXT(TodayDate,"mmmm d, yyyy") &amp; "  |  Refresh: Data &gt; Refresh All, then Ctrl+Alt+F9 to recalculate"</f>
        <v/>
      </c>
    </row>
    <row r="5">
      <c r="A5" s="4" t="inlineStr">
        <is>
          <t>MONTHLY INCOME</t>
        </is>
      </c>
      <c r="B5" s="5" t="n"/>
      <c r="C5" s="5" t="n"/>
      <c r="D5" s="6" t="n"/>
      <c r="E5" s="4" t="inlineStr">
        <is>
          <t>MONTHLY EXPENSES</t>
        </is>
      </c>
      <c r="F5" s="5" t="n"/>
      <c r="G5" s="5" t="n"/>
      <c r="H5" s="6" t="n"/>
      <c r="I5" s="4" t="inlineStr">
        <is>
          <t>MONTHLY SAVINGS</t>
        </is>
      </c>
      <c r="J5" s="5" t="n"/>
      <c r="K5" s="5" t="n"/>
      <c r="L5" s="6" t="n"/>
      <c r="M5" s="4" t="inlineStr">
        <is>
          <t>SAVINGS RATE %</t>
        </is>
      </c>
      <c r="N5" s="5" t="n"/>
      <c r="O5" s="5" t="n"/>
      <c r="P5" s="6" t="n"/>
    </row>
    <row r="6">
      <c r="A6" s="7">
        <f>SUMIFS(Fact_Income[NetAmount],Fact_Income[Date],"&gt;="&amp;CurMonthStart,Fact_Income[Date],"&lt;="&amp;CurMonthEnd)+SUMIFS(BankImportRaw[AbsAmount],BankImportRaw[TransactionType],"Income",BankImportRaw[Date],"&gt;="&amp;CurMonthStart,BankImportRaw[Date],"&lt;="&amp;CurMonthEnd)</f>
        <v/>
      </c>
      <c r="B6" s="8" t="n"/>
      <c r="C6" s="8" t="n"/>
      <c r="D6" s="9" t="n"/>
      <c r="E6" s="10">
        <f>SUMIFS(Fact_Expenses[Amount],Fact_Expenses[Date],"&gt;="&amp;CurMonthStart,Fact_Expenses[Date],"&lt;="&amp;CurMonthEnd)+SUMIFS(BankImportRaw[AbsAmount],BankImportRaw[TransactionType],"Expense",BankImportRaw[Date],"&gt;="&amp;CurMonthStart,BankImportRaw[Date],"&lt;="&amp;CurMonthEnd)</f>
        <v/>
      </c>
      <c r="F6" s="8" t="n"/>
      <c r="G6" s="8" t="n"/>
      <c r="H6" s="9" t="n"/>
      <c r="I6" s="11">
        <f>A6-E6</f>
        <v/>
      </c>
      <c r="J6" s="8" t="n"/>
      <c r="K6" s="8" t="n"/>
      <c r="L6" s="9" t="n"/>
      <c r="M6" s="12">
        <f>IFERROR(I6/A6,0)</f>
        <v/>
      </c>
      <c r="N6" s="8" t="n"/>
      <c r="O6" s="8" t="n"/>
      <c r="P6" s="9" t="n"/>
    </row>
    <row r="7">
      <c r="A7" s="13" t="n"/>
      <c r="B7" s="14" t="n"/>
      <c r="C7" s="14" t="n"/>
      <c r="D7" s="15" t="n"/>
      <c r="E7" s="13" t="n"/>
      <c r="F7" s="14" t="n"/>
      <c r="G7" s="14" t="n"/>
      <c r="H7" s="15" t="n"/>
      <c r="I7" s="13" t="n"/>
      <c r="J7" s="14" t="n"/>
      <c r="K7" s="14" t="n"/>
      <c r="L7" s="15" t="n"/>
      <c r="M7" s="13" t="n"/>
      <c r="N7" s="14" t="n"/>
      <c r="O7" s="14" t="n"/>
      <c r="P7" s="15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</row>
    <row r="10">
      <c r="A10" s="4" t="inlineStr">
        <is>
          <t>NET CASH FLOW</t>
        </is>
      </c>
      <c r="B10" s="5" t="n"/>
      <c r="C10" s="5" t="n"/>
      <c r="D10" s="6" t="n"/>
      <c r="E10" s="4" t="inlineStr">
        <is>
          <t>BUDGET UTILIZATION %</t>
        </is>
      </c>
      <c r="F10" s="5" t="n"/>
      <c r="G10" s="5" t="n"/>
      <c r="H10" s="6" t="n"/>
      <c r="I10" s="4" t="inlineStr">
        <is>
          <t>EMERGENCY FUND</t>
        </is>
      </c>
      <c r="J10" s="5" t="n"/>
      <c r="K10" s="5" t="n"/>
      <c r="L10" s="6" t="n"/>
      <c r="M10" s="4" t="inlineStr">
        <is>
          <t>TOTAL SAVED (ALL GOALS)</t>
        </is>
      </c>
      <c r="N10" s="5" t="n"/>
      <c r="O10" s="5" t="n"/>
      <c r="P10" s="6" t="n"/>
    </row>
    <row r="11">
      <c r="A11" s="11">
        <f>I6-SUMIFS(Fact_SavingsTransfers[Amount],Fact_SavingsTransfers[Date],"&gt;="&amp;CurMonthStart,Fact_SavingsTransfers[Date],"&lt;="&amp;CurMonthEnd)</f>
        <v/>
      </c>
      <c r="B11" s="8" t="n"/>
      <c r="C11" s="8" t="n"/>
      <c r="D11" s="9" t="n"/>
      <c r="E11" s="17">
        <f>IFERROR(SUM(Budget[Actual])/SUM(Budget[MonthlyBudget]),0)</f>
        <v/>
      </c>
      <c r="F11" s="8" t="n"/>
      <c r="G11" s="8" t="n"/>
      <c r="H11" s="9" t="n"/>
      <c r="I11" s="7">
        <f>SUMIFS(Fact_SavingsTransfers[Amount],Fact_SavingsTransfers[GoalName],"Emergency Fund")</f>
        <v/>
      </c>
      <c r="J11" s="8" t="n"/>
      <c r="K11" s="8" t="n"/>
      <c r="L11" s="9" t="n"/>
      <c r="M11" s="7">
        <f>SUM(Dim_Goal[CurrentAmount])</f>
        <v/>
      </c>
      <c r="N11" s="8" t="n"/>
      <c r="O11" s="8" t="n"/>
      <c r="P11" s="9" t="n"/>
    </row>
    <row r="12">
      <c r="A12" s="13" t="n"/>
      <c r="B12" s="14" t="n"/>
      <c r="C12" s="14" t="n"/>
      <c r="D12" s="15" t="n"/>
      <c r="E12" s="13" t="n"/>
      <c r="F12" s="14" t="n"/>
      <c r="G12" s="14" t="n"/>
      <c r="H12" s="15" t="n"/>
      <c r="I12" s="13" t="n"/>
      <c r="J12" s="14" t="n"/>
      <c r="K12" s="14" t="n"/>
      <c r="L12" s="15" t="n"/>
      <c r="M12" s="13" t="n"/>
      <c r="N12" s="14" t="n"/>
      <c r="O12" s="14" t="n"/>
      <c r="P12" s="15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67" ht="20" customHeight="1">
      <c r="A67" s="18" t="inlineStr">
        <is>
          <t>Widgets &amp; Quick Insights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9">
      <c r="A69" s="19" t="inlineStr">
        <is>
          <t>Top Expenses (This Month, Expenses tab only)</t>
        </is>
      </c>
      <c r="E69" s="19" t="inlineStr">
        <is>
          <t>Largest Vendors (This Month)</t>
        </is>
      </c>
      <c r="H69" s="19" t="inlineStr">
        <is>
          <t>Largest Categories (This Month)</t>
        </is>
      </c>
      <c r="K69" s="19" t="inlineStr">
        <is>
          <t>Behavior Metrics</t>
        </is>
      </c>
    </row>
    <row r="70">
      <c r="A70" s="20" t="inlineStr">
        <is>
          <t>Vendor</t>
        </is>
      </c>
      <c r="B70" s="20" t="inlineStr">
        <is>
          <t>Category</t>
        </is>
      </c>
      <c r="C70" s="20" t="inlineStr">
        <is>
          <t>Amount</t>
        </is>
      </c>
      <c r="E70" s="20" t="inlineStr">
        <is>
          <t>Vendor</t>
        </is>
      </c>
      <c r="F70" s="20" t="inlineStr">
        <is>
          <t>Amount</t>
        </is>
      </c>
      <c r="H70" s="20" t="inlineStr">
        <is>
          <t>Category</t>
        </is>
      </c>
      <c r="I70" s="20" t="inlineStr">
        <is>
          <t>Amount</t>
        </is>
      </c>
    </row>
    <row r="71">
      <c r="A71" s="21">
        <f>IFERROR(INDEX(Fact_Expenses[VendorName],MATCH($C71,Fact_Expenses[CurMonthAmt],0)),"")</f>
        <v/>
      </c>
      <c r="B71" s="21">
        <f>IFERROR(INDEX(Fact_Expenses[CategoryName],MATCH($C71,Fact_Expenses[CurMonthAmt],0)),"")</f>
        <v/>
      </c>
      <c r="C71" s="22">
        <f>IFERROR(LARGE(Fact_Expenses[CurMonthAmt],1),0)</f>
        <v/>
      </c>
      <c r="E71" s="21">
        <f>IFERROR(INDEX(Dim_Vendor[VendorName],MATCH($F71,Dim_Vendor[CurMonthSpend],0)),"")</f>
        <v/>
      </c>
      <c r="F71" s="22">
        <f>IFERROR(LARGE(Dim_Vendor[CurMonthSpend],1),0)</f>
        <v/>
      </c>
      <c r="H71" s="21">
        <f>IFERROR(INDEX(Budget[CategoryName],MATCH($I71,Budget[Actual],0)),"")</f>
        <v/>
      </c>
      <c r="I71" s="22">
        <f>IFERROR(LARGE(Budget[Actual],1),0)</f>
        <v/>
      </c>
      <c r="K71" s="21" t="inlineStr">
        <is>
          <t>Need vs Want %</t>
        </is>
      </c>
      <c r="M71" s="23">
        <f>IFERROR((SUMIFS(Fact_Expenses[Amount],Fact_Expenses[NeedWantFlag],"Need")+SUMIFS(BankImportRaw[AbsAmount],BankImportRaw[NeedWantFlag],"Need",BankImportRaw[TransactionType],"Expense"))/(SUM(Fact_Expenses[Amount])+SUMIFS(BankImportRaw[AbsAmount],BankImportRaw[TransactionType],"Expense")),0)</f>
        <v/>
      </c>
    </row>
    <row r="72">
      <c r="A72" s="21">
        <f>IFERROR(INDEX(Fact_Expenses[VendorName],MATCH($C72,Fact_Expenses[CurMonthAmt],0)),"")</f>
        <v/>
      </c>
      <c r="B72" s="21">
        <f>IFERROR(INDEX(Fact_Expenses[CategoryName],MATCH($C72,Fact_Expenses[CurMonthAmt],0)),"")</f>
        <v/>
      </c>
      <c r="C72" s="22">
        <f>IFERROR(LARGE(Fact_Expenses[CurMonthAmt],2),0)</f>
        <v/>
      </c>
      <c r="E72" s="21">
        <f>IFERROR(INDEX(Dim_Vendor[VendorName],MATCH($F72,Dim_Vendor[CurMonthSpend],0)),"")</f>
        <v/>
      </c>
      <c r="F72" s="22">
        <f>IFERROR(LARGE(Dim_Vendor[CurMonthSpend],2),0)</f>
        <v/>
      </c>
      <c r="H72" s="21">
        <f>IFERROR(INDEX(Budget[CategoryName],MATCH($I72,Budget[Actual],0)),"")</f>
        <v/>
      </c>
      <c r="I72" s="22">
        <f>IFERROR(LARGE(Budget[Actual],2),0)</f>
        <v/>
      </c>
      <c r="K72" s="21" t="inlineStr">
        <is>
          <t>Recurring Spend / mo (manual entries only)</t>
        </is>
      </c>
      <c r="M72" s="24">
        <f>SUMIFS(Fact_Expenses[Amount],Fact_Expenses[RecurringFlag],"Yes",Fact_Expenses[Date],"&gt;="&amp;CurMonthStart,Fact_Expenses[Date],"&lt;="&amp;CurMonthEnd)</f>
        <v/>
      </c>
    </row>
    <row r="73">
      <c r="A73" s="21">
        <f>IFERROR(INDEX(Fact_Expenses[VendorName],MATCH($C73,Fact_Expenses[CurMonthAmt],0)),"")</f>
        <v/>
      </c>
      <c r="B73" s="21">
        <f>IFERROR(INDEX(Fact_Expenses[CategoryName],MATCH($C73,Fact_Expenses[CurMonthAmt],0)),"")</f>
        <v/>
      </c>
      <c r="C73" s="22">
        <f>IFERROR(LARGE(Fact_Expenses[CurMonthAmt],3),0)</f>
        <v/>
      </c>
      <c r="E73" s="21">
        <f>IFERROR(INDEX(Dim_Vendor[VendorName],MATCH($F73,Dim_Vendor[CurMonthSpend],0)),"")</f>
        <v/>
      </c>
      <c r="F73" s="22">
        <f>IFERROR(LARGE(Dim_Vendor[CurMonthSpend],3),0)</f>
        <v/>
      </c>
      <c r="H73" s="21">
        <f>IFERROR(INDEX(Budget[CategoryName],MATCH($I73,Budget[Actual],0)),"")</f>
        <v/>
      </c>
      <c r="I73" s="22">
        <f>IFERROR(LARGE(Budget[Actual],3),0)</f>
        <v/>
      </c>
    </row>
    <row r="74">
      <c r="A74" s="21">
        <f>IFERROR(INDEX(Fact_Expenses[VendorName],MATCH($C74,Fact_Expenses[CurMonthAmt],0)),"")</f>
        <v/>
      </c>
      <c r="B74" s="21">
        <f>IFERROR(INDEX(Fact_Expenses[CategoryName],MATCH($C74,Fact_Expenses[CurMonthAmt],0)),"")</f>
        <v/>
      </c>
      <c r="C74" s="22">
        <f>IFERROR(LARGE(Fact_Expenses[CurMonthAmt],4),0)</f>
        <v/>
      </c>
      <c r="E74" s="21">
        <f>IFERROR(INDEX(Dim_Vendor[VendorName],MATCH($F74,Dim_Vendor[CurMonthSpend],0)),"")</f>
        <v/>
      </c>
      <c r="F74" s="22">
        <f>IFERROR(LARGE(Dim_Vendor[CurMonthSpend],4),0)</f>
        <v/>
      </c>
      <c r="H74" s="21">
        <f>IFERROR(INDEX(Budget[CategoryName],MATCH($I74,Budget[Actual],0)),"")</f>
        <v/>
      </c>
      <c r="I74" s="22">
        <f>IFERROR(LARGE(Budget[Actual],4),0)</f>
        <v/>
      </c>
    </row>
    <row r="75">
      <c r="A75" s="21">
        <f>IFERROR(INDEX(Fact_Expenses[VendorName],MATCH($C75,Fact_Expenses[CurMonthAmt],0)),"")</f>
        <v/>
      </c>
      <c r="B75" s="21">
        <f>IFERROR(INDEX(Fact_Expenses[CategoryName],MATCH($C75,Fact_Expenses[CurMonthAmt],0)),"")</f>
        <v/>
      </c>
      <c r="C75" s="22">
        <f>IFERROR(LARGE(Fact_Expenses[CurMonthAmt],5),0)</f>
        <v/>
      </c>
      <c r="E75" s="21">
        <f>IFERROR(INDEX(Dim_Vendor[VendorName],MATCH($F75,Dim_Vendor[CurMonthSpend],0)),"")</f>
        <v/>
      </c>
      <c r="F75" s="22">
        <f>IFERROR(LARGE(Dim_Vendor[CurMonthSpend],5),0)</f>
        <v/>
      </c>
      <c r="H75" s="21">
        <f>IFERROR(INDEX(Budget[CategoryName],MATCH($I75,Budget[Actual],0)),"")</f>
        <v/>
      </c>
      <c r="I75" s="22">
        <f>IFERROR(LARGE(Budget[Actual],5),0)</f>
        <v/>
      </c>
    </row>
    <row r="78">
      <c r="A78" s="19" t="inlineStr">
        <is>
          <t>Budget Status (red = over budget)</t>
        </is>
      </c>
      <c r="D78" s="19" t="inlineStr">
        <is>
          <t>Recent Transactions (Expenses tab only)</t>
        </is>
      </c>
    </row>
    <row r="79">
      <c r="A79" s="20" t="inlineStr">
        <is>
          <t>Category</t>
        </is>
      </c>
      <c r="B79" s="20" t="inlineStr">
        <is>
          <t>Status</t>
        </is>
      </c>
      <c r="D79" s="20" t="inlineStr">
        <is>
          <t>Date</t>
        </is>
      </c>
      <c r="E79" s="20" t="inlineStr">
        <is>
          <t>Vendor</t>
        </is>
      </c>
      <c r="F79" s="20" t="inlineStr">
        <is>
          <t>Category</t>
        </is>
      </c>
      <c r="G79" s="20" t="inlineStr">
        <is>
          <t>Amount</t>
        </is>
      </c>
    </row>
    <row r="80">
      <c r="A80" s="21">
        <f>Budget!A11</f>
        <v/>
      </c>
      <c r="B80" s="21">
        <f>Budget!F11</f>
        <v/>
      </c>
      <c r="D80" s="25">
        <f>IFERROR(INDEX(Fact_Expenses[Date],COUNTA(Fact_Expenses[ExpenseID])-0),"")</f>
        <v/>
      </c>
      <c r="E80" s="21">
        <f>IFERROR(INDEX(Fact_Expenses[VendorName],COUNTA(Fact_Expenses[ExpenseID])-0),"")</f>
        <v/>
      </c>
      <c r="F80" s="21">
        <f>IFERROR(INDEX(Fact_Expenses[CategoryName],COUNTA(Fact_Expenses[ExpenseID])-0),"")</f>
        <v/>
      </c>
      <c r="G80" s="22">
        <f>IFERROR(INDEX(Fact_Expenses[Amount],COUNTA(Fact_Expenses[ExpenseID])-0),"")</f>
        <v/>
      </c>
    </row>
    <row r="81">
      <c r="A81" s="21">
        <f>Budget!A12</f>
        <v/>
      </c>
      <c r="B81" s="21">
        <f>Budget!F12</f>
        <v/>
      </c>
      <c r="D81" s="25">
        <f>IFERROR(INDEX(Fact_Expenses[Date],COUNTA(Fact_Expenses[ExpenseID])-1),"")</f>
        <v/>
      </c>
      <c r="E81" s="21">
        <f>IFERROR(INDEX(Fact_Expenses[VendorName],COUNTA(Fact_Expenses[ExpenseID])-1),"")</f>
        <v/>
      </c>
      <c r="F81" s="21">
        <f>IFERROR(INDEX(Fact_Expenses[CategoryName],COUNTA(Fact_Expenses[ExpenseID])-1),"")</f>
        <v/>
      </c>
      <c r="G81" s="22">
        <f>IFERROR(INDEX(Fact_Expenses[Amount],COUNTA(Fact_Expenses[ExpenseID])-1),"")</f>
        <v/>
      </c>
    </row>
    <row r="82">
      <c r="A82" s="21">
        <f>Budget!A13</f>
        <v/>
      </c>
      <c r="B82" s="21">
        <f>Budget!F13</f>
        <v/>
      </c>
      <c r="D82" s="25">
        <f>IFERROR(INDEX(Fact_Expenses[Date],COUNTA(Fact_Expenses[ExpenseID])-2),"")</f>
        <v/>
      </c>
      <c r="E82" s="21">
        <f>IFERROR(INDEX(Fact_Expenses[VendorName],COUNTA(Fact_Expenses[ExpenseID])-2),"")</f>
        <v/>
      </c>
      <c r="F82" s="21">
        <f>IFERROR(INDEX(Fact_Expenses[CategoryName],COUNTA(Fact_Expenses[ExpenseID])-2),"")</f>
        <v/>
      </c>
      <c r="G82" s="22">
        <f>IFERROR(INDEX(Fact_Expenses[Amount],COUNTA(Fact_Expenses[ExpenseID])-2),"")</f>
        <v/>
      </c>
    </row>
    <row r="83">
      <c r="A83" s="21">
        <f>Budget!A14</f>
        <v/>
      </c>
      <c r="B83" s="21">
        <f>Budget!F14</f>
        <v/>
      </c>
      <c r="D83" s="25">
        <f>IFERROR(INDEX(Fact_Expenses[Date],COUNTA(Fact_Expenses[ExpenseID])-3),"")</f>
        <v/>
      </c>
      <c r="E83" s="21">
        <f>IFERROR(INDEX(Fact_Expenses[VendorName],COUNTA(Fact_Expenses[ExpenseID])-3),"")</f>
        <v/>
      </c>
      <c r="F83" s="21">
        <f>IFERROR(INDEX(Fact_Expenses[CategoryName],COUNTA(Fact_Expenses[ExpenseID])-3),"")</f>
        <v/>
      </c>
      <c r="G83" s="22">
        <f>IFERROR(INDEX(Fact_Expenses[Amount],COUNTA(Fact_Expenses[ExpenseID])-3),"")</f>
        <v/>
      </c>
    </row>
    <row r="84">
      <c r="A84" s="21">
        <f>Budget!A15</f>
        <v/>
      </c>
      <c r="B84" s="21">
        <f>Budget!F15</f>
        <v/>
      </c>
      <c r="D84" s="25">
        <f>IFERROR(INDEX(Fact_Expenses[Date],COUNTA(Fact_Expenses[ExpenseID])-4),"")</f>
        <v/>
      </c>
      <c r="E84" s="21">
        <f>IFERROR(INDEX(Fact_Expenses[VendorName],COUNTA(Fact_Expenses[ExpenseID])-4),"")</f>
        <v/>
      </c>
      <c r="F84" s="21">
        <f>IFERROR(INDEX(Fact_Expenses[CategoryName],COUNTA(Fact_Expenses[ExpenseID])-4),"")</f>
        <v/>
      </c>
      <c r="G84" s="22">
        <f>IFERROR(INDEX(Fact_Expenses[Amount],COUNTA(Fact_Expenses[ExpenseID])-4),"")</f>
        <v/>
      </c>
    </row>
    <row r="85">
      <c r="A85" s="21">
        <f>Budget!A16</f>
        <v/>
      </c>
      <c r="B85" s="21">
        <f>Budget!F16</f>
        <v/>
      </c>
      <c r="D85" s="25">
        <f>IFERROR(INDEX(Fact_Expenses[Date],COUNTA(Fact_Expenses[ExpenseID])-5),"")</f>
        <v/>
      </c>
      <c r="E85" s="21">
        <f>IFERROR(INDEX(Fact_Expenses[VendorName],COUNTA(Fact_Expenses[ExpenseID])-5),"")</f>
        <v/>
      </c>
      <c r="F85" s="21">
        <f>IFERROR(INDEX(Fact_Expenses[CategoryName],COUNTA(Fact_Expenses[ExpenseID])-5),"")</f>
        <v/>
      </c>
      <c r="G85" s="22">
        <f>IFERROR(INDEX(Fact_Expenses[Amount],COUNTA(Fact_Expenses[ExpenseID])-5),"")</f>
        <v/>
      </c>
    </row>
    <row r="86">
      <c r="A86" s="21">
        <f>Budget!A17</f>
        <v/>
      </c>
      <c r="B86" s="21">
        <f>Budget!F17</f>
        <v/>
      </c>
      <c r="D86" s="25">
        <f>IFERROR(INDEX(Fact_Expenses[Date],COUNTA(Fact_Expenses[ExpenseID])-6),"")</f>
        <v/>
      </c>
      <c r="E86" s="21">
        <f>IFERROR(INDEX(Fact_Expenses[VendorName],COUNTA(Fact_Expenses[ExpenseID])-6),"")</f>
        <v/>
      </c>
      <c r="F86" s="21">
        <f>IFERROR(INDEX(Fact_Expenses[CategoryName],COUNTA(Fact_Expenses[ExpenseID])-6),"")</f>
        <v/>
      </c>
      <c r="G86" s="22">
        <f>IFERROR(INDEX(Fact_Expenses[Amount],COUNTA(Fact_Expenses[ExpenseID])-6),"")</f>
        <v/>
      </c>
    </row>
    <row r="87">
      <c r="A87" s="21">
        <f>Budget!A18</f>
        <v/>
      </c>
      <c r="B87" s="21">
        <f>Budget!F18</f>
        <v/>
      </c>
      <c r="D87" s="25">
        <f>IFERROR(INDEX(Fact_Expenses[Date],COUNTA(Fact_Expenses[ExpenseID])-7),"")</f>
        <v/>
      </c>
      <c r="E87" s="21">
        <f>IFERROR(INDEX(Fact_Expenses[VendorName],COUNTA(Fact_Expenses[ExpenseID])-7),"")</f>
        <v/>
      </c>
      <c r="F87" s="21">
        <f>IFERROR(INDEX(Fact_Expenses[CategoryName],COUNTA(Fact_Expenses[ExpenseID])-7),"")</f>
        <v/>
      </c>
      <c r="G87" s="22">
        <f>IFERROR(INDEX(Fact_Expenses[Amount],COUNTA(Fact_Expenses[ExpenseID])-7),"")</f>
        <v/>
      </c>
    </row>
    <row r="88">
      <c r="A88" s="21">
        <f>Budget!A19</f>
        <v/>
      </c>
      <c r="B88" s="21">
        <f>Budget!F19</f>
        <v/>
      </c>
    </row>
    <row r="89">
      <c r="A89" s="21">
        <f>Budget!A20</f>
        <v/>
      </c>
      <c r="B89" s="21">
        <f>Budget!F20</f>
        <v/>
      </c>
    </row>
    <row r="91" ht="20" customHeight="1">
      <c r="A91" s="26" t="inlineStr">
        <is>
          <t>Cut-Back Analyzer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0" t="inlineStr">
        <is>
          <t>Category</t>
        </is>
      </c>
      <c r="B92" s="20" t="inlineStr">
        <is>
          <t>Monthly Cost</t>
        </is>
      </c>
      <c r="C92" s="20" t="inlineStr">
        <is>
          <t>Annual Cost</t>
        </is>
      </c>
      <c r="D92" s="20" t="inlineStr">
        <is>
          <t>Potential Savings</t>
        </is>
      </c>
      <c r="E92" s="20" t="inlineStr">
        <is>
          <t>Priority</t>
        </is>
      </c>
      <c r="F92" s="20" t="inlineStr">
        <is>
          <t>Recommendation</t>
        </is>
      </c>
    </row>
    <row r="93">
      <c r="A93" s="21" t="inlineStr">
        <is>
          <t>Dining &amp; Entertainment</t>
        </is>
      </c>
      <c r="B93" s="27">
        <f>SUMIFS(Fact_Expenses[Amount],Fact_Expenses[CategoryName],"Dining &amp; Entertainment",Fact_Expenses[Date],"&gt;="&amp;EOMONTH(TodayDate,-2)+1,Fact_Expenses[Date],"&lt;="&amp;EOMONTH(TodayDate,-1))+SUMIFS(BankImportRaw[AbsAmount],BankImportRaw[CategoryName],"Dining &amp; Entertainment",BankImportRaw[TransactionType],"Expense",BankImportRaw[Date],"&gt;="&amp;EOMONTH(TodayDate,-2)+1,BankImportRaw[Date],"&lt;="&amp;EOMONTH(TodayDate,-1))</f>
        <v/>
      </c>
      <c r="C93" s="27">
        <f>B93*12</f>
        <v/>
      </c>
      <c r="D93" s="27">
        <f>C93*0.3</f>
        <v/>
      </c>
      <c r="E93" s="21">
        <f>RANK(D93,$D$93:$D$96)</f>
        <v/>
      </c>
      <c r="F93" s="28">
        <f>IF(D93&gt;500,"High-impact — consider cutting significantly",IF(D93&gt;150,"Moderate — trim where possible","Low-impact — monitor only"))</f>
        <v/>
      </c>
    </row>
    <row r="94">
      <c r="A94" s="21" t="inlineStr">
        <is>
          <t>Shopping</t>
        </is>
      </c>
      <c r="B94" s="27">
        <f>SUMIFS(Fact_Expenses[Amount],Fact_Expenses[CategoryName],"Shopping",Fact_Expenses[Date],"&gt;="&amp;EOMONTH(TodayDate,-2)+1,Fact_Expenses[Date],"&lt;="&amp;EOMONTH(TodayDate,-1))+SUMIFS(BankImportRaw[AbsAmount],BankImportRaw[CategoryName],"Shopping",BankImportRaw[TransactionType],"Expense",BankImportRaw[Date],"&gt;="&amp;EOMONTH(TodayDate,-2)+1,BankImportRaw[Date],"&lt;="&amp;EOMONTH(TodayDate,-1))</f>
        <v/>
      </c>
      <c r="C94" s="27">
        <f>B94*12</f>
        <v/>
      </c>
      <c r="D94" s="27">
        <f>C94*0.3</f>
        <v/>
      </c>
      <c r="E94" s="21">
        <f>RANK(D94,$D$93:$D$96)</f>
        <v/>
      </c>
      <c r="F94" s="28">
        <f>IF(D94&gt;500,"High-impact — consider cutting significantly",IF(D94&gt;150,"Moderate — trim where possible","Low-impact — monitor only"))</f>
        <v/>
      </c>
    </row>
    <row r="95">
      <c r="A95" s="21" t="inlineStr">
        <is>
          <t>Personal Care</t>
        </is>
      </c>
      <c r="B95" s="27">
        <f>SUMIFS(Fact_Expenses[Amount],Fact_Expenses[CategoryName],"Personal Care",Fact_Expenses[Date],"&gt;="&amp;EOMONTH(TodayDate,-2)+1,Fact_Expenses[Date],"&lt;="&amp;EOMONTH(TodayDate,-1))+SUMIFS(BankImportRaw[AbsAmount],BankImportRaw[CategoryName],"Personal Care",BankImportRaw[TransactionType],"Expense",BankImportRaw[Date],"&gt;="&amp;EOMONTH(TodayDate,-2)+1,BankImportRaw[Date],"&lt;="&amp;EOMONTH(TodayDate,-1))</f>
        <v/>
      </c>
      <c r="C95" s="27">
        <f>B95*12</f>
        <v/>
      </c>
      <c r="D95" s="27">
        <f>C95*0.3</f>
        <v/>
      </c>
      <c r="E95" s="21">
        <f>RANK(D95,$D$93:$D$96)</f>
        <v/>
      </c>
      <c r="F95" s="28">
        <f>IF(D95&gt;500,"High-impact — consider cutting significantly",IF(D95&gt;150,"Moderate — trim where possible","Low-impact — monitor only"))</f>
        <v/>
      </c>
    </row>
    <row r="96">
      <c r="A96" s="21" t="inlineStr">
        <is>
          <t>Non-Essential Wants (all categories)</t>
        </is>
      </c>
      <c r="B96" s="27">
        <f>SUMIFS(Fact_Expenses[Amount],Fact_Expenses[NeedWantFlag],"Want",Fact_Expenses[Date],"&gt;="&amp;EOMONTH(TodayDate,-2)+1,Fact_Expenses[Date],"&lt;="&amp;EOMONTH(TodayDate,-1))+SUMIFS(BankImportRaw[AbsAmount],BankImportRaw[NeedWantFlag],"Want",BankImportRaw[TransactionType],"Expense",BankImportRaw[Date],"&gt;="&amp;EOMONTH(TodayDate,-2)+1,BankImportRaw[Date],"&lt;="&amp;EOMONTH(TodayDate,-1))</f>
        <v/>
      </c>
      <c r="C96" s="27">
        <f>B96*12</f>
        <v/>
      </c>
      <c r="D96" s="27">
        <f>C96*0.3</f>
        <v/>
      </c>
      <c r="E96" s="21">
        <f>RANK(D96,$D$93:$D$96)</f>
        <v/>
      </c>
      <c r="F96" s="28">
        <f>IF(D96&gt;500,"High-impact — consider cutting significantly",IF(D96&gt;150,"Moderate — trim where possible","Low-impact — monitor only"))</f>
        <v/>
      </c>
    </row>
  </sheetData>
  <mergeCells count="20">
    <mergeCell ref="A5:D5"/>
    <mergeCell ref="I5:L5"/>
    <mergeCell ref="A1:P2"/>
    <mergeCell ref="A91:P91"/>
    <mergeCell ref="M11:P12"/>
    <mergeCell ref="I10:L10"/>
    <mergeCell ref="A10:D10"/>
    <mergeCell ref="A6:D7"/>
    <mergeCell ref="A67:P67"/>
    <mergeCell ref="E6:H7"/>
    <mergeCell ref="M6:P7"/>
    <mergeCell ref="E11:H12"/>
    <mergeCell ref="E5:H5"/>
    <mergeCell ref="M5:P5"/>
    <mergeCell ref="M10:P10"/>
    <mergeCell ref="E10:H10"/>
    <mergeCell ref="A3:J3"/>
    <mergeCell ref="I6:L7"/>
    <mergeCell ref="A11:D12"/>
    <mergeCell ref="I11:L12"/>
  </mergeCells>
  <conditionalFormatting sqref="B80:B89">
    <cfRule type="cellIs" priority="1" operator="equal" dxfId="0">
      <formula>"Over Budget"</formula>
    </cfRule>
    <cfRule type="cellIs" priority="2" operator="equal" dxfId="1">
      <formula>"Near Limit"</formula>
    </cfRule>
    <cfRule type="cellIs" priority="3" operator="equal" dxfId="2">
      <formula>"Under Budget"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</cols>
  <sheetData>
    <row r="1" ht="30" customHeight="1">
      <c r="A1" s="29" t="inlineStr">
        <is>
          <t>Data Entry</t>
        </is>
      </c>
      <c r="B1" s="2" t="n"/>
      <c r="C1" s="2" t="n"/>
      <c r="D1" s="2" t="n"/>
      <c r="E1" s="2" t="n"/>
      <c r="F1" s="2" t="n"/>
      <c r="G1" s="2" t="n"/>
      <c r="H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B4" s="30" t="inlineStr">
        <is>
          <t>Personal Finance Planner — Quick Start</t>
        </is>
      </c>
    </row>
    <row r="5" ht="30" customHeight="1">
      <c r="B5" s="31" t="inlineStr">
        <is>
          <t>1. Got a bank/credit-card CSV export? Go to the Bank Import tab first — paste it there, pick a Vendor per row, and it auto-suggests the Category and splits Expense vs Income for you.</t>
        </is>
      </c>
    </row>
    <row r="6" ht="30" customHeight="1">
      <c r="B6" s="31" t="inlineStr">
        <is>
          <t>2. Otherwise, enter transactions directly: Income for paychecks, Expenses for purchases, Savings for transfers toward a goal.</t>
        </is>
      </c>
    </row>
    <row r="7" ht="30" customHeight="1">
      <c r="B7" s="31" t="inlineStr">
        <is>
          <t>3. Use the dropdowns for Vendor / Category / Account / Payment Method — never type free text — so every report stays consistent.</t>
        </is>
      </c>
    </row>
    <row r="8" ht="30" customHeight="1">
      <c r="B8" s="31" t="inlineStr">
        <is>
          <t>4. Set your monthly budget per category on the Budget tab.</t>
        </is>
      </c>
    </row>
    <row r="9" ht="30" customHeight="1">
      <c r="B9" s="31" t="inlineStr">
        <is>
          <t>5. Press Ctrl+Alt+F9 (Formulas &gt; Calculate Now) so every KPI, chart, and report recalculates.</t>
        </is>
      </c>
    </row>
    <row r="10" ht="30" customHeight="1">
      <c r="B10" s="31" t="inlineStr">
        <is>
          <t>6. Open the Dashboard tab to review updated KPIs, charts, and the Cut-Back Analyzer.</t>
        </is>
      </c>
    </row>
    <row r="12">
      <c r="B12" s="30" t="inlineStr">
        <is>
          <t>Jump to a tab</t>
        </is>
      </c>
    </row>
    <row r="13">
      <c r="B13" s="32" t="inlineStr">
        <is>
          <t>Bank Import</t>
        </is>
      </c>
      <c r="C13" s="3" t="inlineStr">
        <is>
          <t>Paste a bank/credit-card CSV export here first</t>
        </is>
      </c>
    </row>
    <row r="14">
      <c r="B14" s="32" t="inlineStr">
        <is>
          <t>Income</t>
        </is>
      </c>
      <c r="C14" s="3" t="inlineStr">
        <is>
          <t>Log paychecks</t>
        </is>
      </c>
    </row>
    <row r="15">
      <c r="B15" s="32" t="inlineStr">
        <is>
          <t>Expenses</t>
        </is>
      </c>
      <c r="C15" s="3" t="inlineStr">
        <is>
          <t>Log every purchase — the most-used tab</t>
        </is>
      </c>
    </row>
    <row r="16">
      <c r="B16" s="32" t="inlineStr">
        <is>
          <t>Savings</t>
        </is>
      </c>
      <c r="C16" s="3" t="inlineStr">
        <is>
          <t>Set goals and log transfers toward them</t>
        </is>
      </c>
    </row>
    <row r="17">
      <c r="B17" s="32" t="inlineStr">
        <is>
          <t>Budget</t>
        </is>
      </c>
      <c r="C17" s="3" t="inlineStr">
        <is>
          <t>Set your monthly budget per category</t>
        </is>
      </c>
    </row>
    <row r="18">
      <c r="B18" s="32" t="inlineStr">
        <is>
          <t>Categories</t>
        </is>
      </c>
      <c r="C18" s="3" t="inlineStr">
        <is>
          <t>Add a new expense/income category</t>
        </is>
      </c>
    </row>
    <row r="19">
      <c r="B19" s="32" t="inlineStr">
        <is>
          <t>Vendors</t>
        </is>
      </c>
      <c r="C19" s="3" t="inlineStr">
        <is>
          <t>Add a new vendor</t>
        </is>
      </c>
    </row>
    <row r="20">
      <c r="B20" s="32" t="inlineStr">
        <is>
          <t>Accounts</t>
        </is>
      </c>
      <c r="C20" s="3" t="inlineStr">
        <is>
          <t>Add a new bank/credit account</t>
        </is>
      </c>
    </row>
    <row r="23">
      <c r="B23" s="30" t="inlineStr">
        <is>
          <t>Adding new categories, vendors, or accounts</t>
        </is>
      </c>
    </row>
    <row r="24" ht="30" customHeight="1">
      <c r="B24" s="31" t="inlineStr">
        <is>
          <t>New category: add a row to Dim_Category on the Categories tab. It appears in every dropdown and report automatically — no formulas anywhere else need to change.</t>
        </is>
      </c>
    </row>
    <row r="25" ht="30" customHeight="1">
      <c r="B25" s="31" t="inlineStr">
        <is>
          <t>New vendor: add a row to Dim_Vendor on the Vendors tab, with its default category.</t>
        </is>
      </c>
    </row>
    <row r="26" ht="30" customHeight="1">
      <c r="B26" s="31" t="inlineStr">
        <is>
          <t>New account: add a row to Dim_Account on the Accounts tab, with its starting Balance.</t>
        </is>
      </c>
    </row>
    <row r="27" ht="30" customHeight="1">
      <c r="B27" s="31" t="inlineStr">
        <is>
          <t>All dropdowns use structured references (e.g. =Dim_Category[CategoryName]), which automatically grow to include new rows — not a fixed cell range — so nothing else needs to be touched.</t>
        </is>
      </c>
    </row>
    <row r="29">
      <c r="B29" s="30" t="inlineStr">
        <is>
          <t>Where your data lives</t>
        </is>
      </c>
    </row>
    <row r="30" ht="75" customHeight="1">
      <c r="B30" s="31" t="inlineStr">
        <is>
          <t>Everything is stored inside this workbook — the Excel Tables on each tab (Fact_Income, Fact_Expenses, Fact_SavingsTransfers, Dim_Category, Dim_Vendor, Dim_Account, Dim_Goal, Budget) ARE the database. There is no external server, cloud account, or database connection involved. That means: (1) this file is the only copy of your data — back it up (save a copy, or keep it in a synced folder / version control) the same way you would any important document; (2) if you keep this file in a git repo for versioning, remember that committing it puts your real transaction data into that repo's history — use a private repo if the numbers are real.</t>
        </is>
      </c>
    </row>
  </sheetData>
  <mergeCells count="12">
    <mergeCell ref="B8:H8"/>
    <mergeCell ref="B26:H26"/>
    <mergeCell ref="B9:H9"/>
    <mergeCell ref="B27:H27"/>
    <mergeCell ref="B6:H6"/>
    <mergeCell ref="B24:H24"/>
    <mergeCell ref="B30:H30"/>
    <mergeCell ref="B25:H25"/>
    <mergeCell ref="B7:H7"/>
    <mergeCell ref="B10:H10"/>
    <mergeCell ref="A1:H2"/>
    <mergeCell ref="B5:H5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2650B"/>
    <outlinePr summaryBelow="1" summaryRight="1"/>
    <pageSetUpPr/>
  </sheetPr>
  <dimension ref="A1:K51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0" customHeight="1">
      <c r="A1" s="29" t="inlineStr">
        <is>
          <t>Bank Import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20" customHeight="1">
      <c r="A4" s="33" t="inlineStr">
        <is>
          <t>HOW TO USE THIS TAB</t>
        </is>
      </c>
    </row>
    <row r="5" ht="30" customHeight="1">
      <c r="A5" s="31" t="inlineStr">
        <is>
          <t>1. Export a CSV of transactions from your bank or credit card's website (usually Accounts &gt; Download/Export).</t>
        </is>
      </c>
    </row>
    <row r="6" ht="30" customHeight="1">
      <c r="A6" s="31" t="inlineStr">
        <is>
          <t>2. Open that CSV, copy its Date / Description / Amount columns, and paste them into columns A, B, C of the table below — into the first blank row, not over existing rows — paste values only (Home &gt; Paste &gt; Values) so formatting doesn't fight the table.</t>
        </is>
      </c>
    </row>
    <row r="7" ht="30" customHeight="1">
      <c r="A7" s="31" t="inlineStr">
        <is>
          <t>3. Set 'Sign Convention' below to match how your export shows amounts (see the dropdown note).</t>
        </is>
      </c>
    </row>
    <row r="8" ht="30" customHeight="1">
      <c r="A8" s="31" t="inlineStr">
        <is>
          <t>4. Column D (Vendor) tries to auto-fill itself from any earlier row in this tab with the exact same bank description — if it's blank (new or slightly different wording), pick a Vendor from the dropdown. Category (E) then auto-fills from that vendor's default category; override it if needed.</t>
        </is>
      </c>
    </row>
    <row r="9" ht="30" customHeight="1">
      <c r="A9" s="31" t="inlineStr">
        <is>
          <t>That's it — every row here counts immediately in the Dashboard KPIs, charts, Budget, and Vendor totals. There's no copy step: this tab IS the ledger for bank-derived transactions, the same way Expenses/Income are the ledger for anything you enter by hand. Don't delete rows after importing — deleting a row removes that transaction from every report.</t>
        </is>
      </c>
    </row>
    <row r="10" ht="30" customHeight="1">
      <c r="A10" s="31" t="inlineStr">
        <is>
          <t>Note: the auto-fill in step 4 only recognizes an EXACT repeat of a description string. Recurring bills and subscriptions usually post with identical text every time, so those learn fast. If your bank appends a unique date or reference number to every line, matching won't catch it — you'll just pick the vendor again, same as the first time.</t>
        </is>
      </c>
    </row>
    <row r="11" ht="30" customHeight="1">
      <c r="A11" s="31" t="inlineStr">
        <is>
          <t>Note: the Dashboard's 'Top Expenses' and 'Recent Transactions' widgets only look at the Expenses tab (a limitation of ranking individual transactions across two separate tables) — everything else (KPIs, Budget, Vendor totals, charts, Cut-Back Analyzer) includes this tab.</t>
        </is>
      </c>
    </row>
    <row r="13" ht="40" customHeight="1">
      <c r="A13" s="19" t="inlineStr">
        <is>
          <t>Sign Convention for this import:</t>
        </is>
      </c>
      <c r="D13" s="34" t="inlineStr">
        <is>
          <t>Negative = Expense</t>
        </is>
      </c>
      <c r="E13" s="35" t="inlineStr">
        <is>
          <t>Most bank/debit exports show purchases as negative numbers (“Negative = Expense”). Most credit-card exports show charges as positive numbers and payments as negative (“Positive = Expense”). Check one real row against your bank statement to confirm.</t>
        </is>
      </c>
    </row>
    <row r="15" ht="20" customHeight="1">
      <c r="A15" s="26" t="inlineStr">
        <is>
          <t>Paste your CSV's Date / Description / Amount into columns A-C — Vendor (D) auto-fills from earlier rows when it recognizes the description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36" t="inlineStr">
        <is>
          <t>Date</t>
        </is>
      </c>
      <c r="B16" s="36" t="inlineStr">
        <is>
          <t>Description</t>
        </is>
      </c>
      <c r="C16" s="36" t="inlineStr">
        <is>
          <t>Amount</t>
        </is>
      </c>
      <c r="D16" s="36" t="inlineStr">
        <is>
          <t>VendorName</t>
        </is>
      </c>
      <c r="E16" s="36" t="inlineStr">
        <is>
          <t>CategoryName</t>
        </is>
      </c>
      <c r="F16" s="36" t="inlineStr">
        <is>
          <t>AccountName</t>
        </is>
      </c>
      <c r="G16" s="36" t="inlineStr">
        <is>
          <t>PaymentMethod</t>
        </is>
      </c>
      <c r="H16" s="36" t="inlineStr">
        <is>
          <t>TransactionType</t>
        </is>
      </c>
      <c r="I16" s="36" t="inlineStr">
        <is>
          <t>AbsAmount</t>
        </is>
      </c>
      <c r="J16" s="36" t="inlineStr">
        <is>
          <t>NeedWantFlag</t>
        </is>
      </c>
      <c r="K16" s="36" t="inlineStr">
        <is>
          <t>Notes</t>
        </is>
      </c>
    </row>
    <row r="17">
      <c r="A17" s="37" t="n"/>
      <c r="C17" s="27" t="n"/>
      <c r="D17">
        <f>""</f>
        <v/>
      </c>
      <c r="E17">
        <f>IFERROR(INDEX(Dim_Category[CategoryName],MATCH(INDEX(Dim_Vendor[DefaultCategoryID],MATCH($D17,Dim_Vendor[VendorName],0)),Dim_Category[CategoryID],0)),"")</f>
        <v/>
      </c>
      <c r="H17">
        <f>IF($C17="","",IF(SignConvention="Negative = Expense",IF($C17&lt;0,"Expense","Income"),IF($C17&gt;0,"Expense","Income")))</f>
        <v/>
      </c>
      <c r="I17" s="27">
        <f>IF($C17="","",ABS($C17))</f>
        <v/>
      </c>
    </row>
    <row r="18">
      <c r="A18" s="37" t="n"/>
      <c r="C18" s="27" t="n"/>
      <c r="D18">
        <f>IF($B18="","",IFERROR(INDEX($D$17:$D$17,MATCH($B18,$B$17:$B$17,0)),""))</f>
        <v/>
      </c>
      <c r="E18">
        <f>IFERROR(INDEX(Dim_Category[CategoryName],MATCH(INDEX(Dim_Vendor[DefaultCategoryID],MATCH($D18,Dim_Vendor[VendorName],0)),Dim_Category[CategoryID],0)),"")</f>
        <v/>
      </c>
      <c r="H18">
        <f>IF($C18="","",IF(SignConvention="Negative = Expense",IF($C18&lt;0,"Expense","Income"),IF($C18&gt;0,"Expense","Income")))</f>
        <v/>
      </c>
      <c r="I18" s="27">
        <f>IF($C18="","",ABS($C18))</f>
        <v/>
      </c>
    </row>
    <row r="19">
      <c r="A19" s="37" t="n"/>
      <c r="C19" s="27" t="n"/>
      <c r="D19">
        <f>IF($B19="","",IFERROR(INDEX($D$17:$D$18,MATCH($B19,$B$17:$B$18,0)),""))</f>
        <v/>
      </c>
      <c r="E19">
        <f>IFERROR(INDEX(Dim_Category[CategoryName],MATCH(INDEX(Dim_Vendor[DefaultCategoryID],MATCH($D19,Dim_Vendor[VendorName],0)),Dim_Category[CategoryID],0)),"")</f>
        <v/>
      </c>
      <c r="H19">
        <f>IF($C19="","",IF(SignConvention="Negative = Expense",IF($C19&lt;0,"Expense","Income"),IF($C19&gt;0,"Expense","Income")))</f>
        <v/>
      </c>
      <c r="I19" s="27">
        <f>IF($C19="","",ABS($C19))</f>
        <v/>
      </c>
    </row>
    <row r="20">
      <c r="A20" s="37" t="n"/>
      <c r="C20" s="27" t="n"/>
      <c r="D20">
        <f>IF($B20="","",IFERROR(INDEX($D$17:$D$19,MATCH($B20,$B$17:$B$19,0)),""))</f>
        <v/>
      </c>
      <c r="E20">
        <f>IFERROR(INDEX(Dim_Category[CategoryName],MATCH(INDEX(Dim_Vendor[DefaultCategoryID],MATCH($D20,Dim_Vendor[VendorName],0)),Dim_Category[CategoryID],0)),"")</f>
        <v/>
      </c>
      <c r="H20">
        <f>IF($C20="","",IF(SignConvention="Negative = Expense",IF($C20&lt;0,"Expense","Income"),IF($C20&gt;0,"Expense","Income")))</f>
        <v/>
      </c>
      <c r="I20" s="27">
        <f>IF($C20="","",ABS($C20))</f>
        <v/>
      </c>
    </row>
    <row r="21">
      <c r="A21" s="37" t="n"/>
      <c r="C21" s="27" t="n"/>
      <c r="D21">
        <f>IF($B21="","",IFERROR(INDEX($D$17:$D$20,MATCH($B21,$B$17:$B$20,0)),""))</f>
        <v/>
      </c>
      <c r="E21">
        <f>IFERROR(INDEX(Dim_Category[CategoryName],MATCH(INDEX(Dim_Vendor[DefaultCategoryID],MATCH($D21,Dim_Vendor[VendorName],0)),Dim_Category[CategoryID],0)),"")</f>
        <v/>
      </c>
      <c r="H21">
        <f>IF($C21="","",IF(SignConvention="Negative = Expense",IF($C21&lt;0,"Expense","Income"),IF($C21&gt;0,"Expense","Income")))</f>
        <v/>
      </c>
      <c r="I21" s="27">
        <f>IF($C21="","",ABS($C21))</f>
        <v/>
      </c>
    </row>
    <row r="22">
      <c r="A22" s="37" t="n"/>
      <c r="C22" s="27" t="n"/>
      <c r="D22">
        <f>IF($B22="","",IFERROR(INDEX($D$17:$D$21,MATCH($B22,$B$17:$B$21,0)),""))</f>
        <v/>
      </c>
      <c r="E22">
        <f>IFERROR(INDEX(Dim_Category[CategoryName],MATCH(INDEX(Dim_Vendor[DefaultCategoryID],MATCH($D22,Dim_Vendor[VendorName],0)),Dim_Category[CategoryID],0)),"")</f>
        <v/>
      </c>
      <c r="H22">
        <f>IF($C22="","",IF(SignConvention="Negative = Expense",IF($C22&lt;0,"Expense","Income"),IF($C22&gt;0,"Expense","Income")))</f>
        <v/>
      </c>
      <c r="I22" s="27">
        <f>IF($C22="","",ABS($C22))</f>
        <v/>
      </c>
    </row>
    <row r="23">
      <c r="A23" s="37" t="n"/>
      <c r="C23" s="27" t="n"/>
      <c r="D23">
        <f>IF($B23="","",IFERROR(INDEX($D$17:$D$22,MATCH($B23,$B$17:$B$22,0)),""))</f>
        <v/>
      </c>
      <c r="E23">
        <f>IFERROR(INDEX(Dim_Category[CategoryName],MATCH(INDEX(Dim_Vendor[DefaultCategoryID],MATCH($D23,Dim_Vendor[VendorName],0)),Dim_Category[CategoryID],0)),"")</f>
        <v/>
      </c>
      <c r="H23">
        <f>IF($C23="","",IF(SignConvention="Negative = Expense",IF($C23&lt;0,"Expense","Income"),IF($C23&gt;0,"Expense","Income")))</f>
        <v/>
      </c>
      <c r="I23" s="27">
        <f>IF($C23="","",ABS($C23))</f>
        <v/>
      </c>
    </row>
    <row r="24">
      <c r="A24" s="37" t="n"/>
      <c r="C24" s="27" t="n"/>
      <c r="D24">
        <f>IF($B24="","",IFERROR(INDEX($D$17:$D$23,MATCH($B24,$B$17:$B$23,0)),""))</f>
        <v/>
      </c>
      <c r="E24">
        <f>IFERROR(INDEX(Dim_Category[CategoryName],MATCH(INDEX(Dim_Vendor[DefaultCategoryID],MATCH($D24,Dim_Vendor[VendorName],0)),Dim_Category[CategoryID],0)),"")</f>
        <v/>
      </c>
      <c r="H24">
        <f>IF($C24="","",IF(SignConvention="Negative = Expense",IF($C24&lt;0,"Expense","Income"),IF($C24&gt;0,"Expense","Income")))</f>
        <v/>
      </c>
      <c r="I24" s="27">
        <f>IF($C24="","",ABS($C24))</f>
        <v/>
      </c>
    </row>
    <row r="25">
      <c r="A25" s="37" t="n"/>
      <c r="C25" s="27" t="n"/>
      <c r="D25">
        <f>IF($B25="","",IFERROR(INDEX($D$17:$D$24,MATCH($B25,$B$17:$B$24,0)),""))</f>
        <v/>
      </c>
      <c r="E25">
        <f>IFERROR(INDEX(Dim_Category[CategoryName],MATCH(INDEX(Dim_Vendor[DefaultCategoryID],MATCH($D25,Dim_Vendor[VendorName],0)),Dim_Category[CategoryID],0)),"")</f>
        <v/>
      </c>
      <c r="H25">
        <f>IF($C25="","",IF(SignConvention="Negative = Expense",IF($C25&lt;0,"Expense","Income"),IF($C25&gt;0,"Expense","Income")))</f>
        <v/>
      </c>
      <c r="I25" s="27">
        <f>IF($C25="","",ABS($C25))</f>
        <v/>
      </c>
    </row>
    <row r="26">
      <c r="A26" s="37" t="n"/>
      <c r="C26" s="27" t="n"/>
      <c r="D26">
        <f>IF($B26="","",IFERROR(INDEX($D$17:$D$25,MATCH($B26,$B$17:$B$25,0)),""))</f>
        <v/>
      </c>
      <c r="E26">
        <f>IFERROR(INDEX(Dim_Category[CategoryName],MATCH(INDEX(Dim_Vendor[DefaultCategoryID],MATCH($D26,Dim_Vendor[VendorName],0)),Dim_Category[CategoryID],0)),"")</f>
        <v/>
      </c>
      <c r="H26">
        <f>IF($C26="","",IF(SignConvention="Negative = Expense",IF($C26&lt;0,"Expense","Income"),IF($C26&gt;0,"Expense","Income")))</f>
        <v/>
      </c>
      <c r="I26" s="27">
        <f>IF($C26="","",ABS($C26))</f>
        <v/>
      </c>
    </row>
    <row r="27">
      <c r="A27" s="37" t="n"/>
      <c r="C27" s="27" t="n"/>
      <c r="D27">
        <f>IF($B27="","",IFERROR(INDEX($D$17:$D$26,MATCH($B27,$B$17:$B$26,0)),""))</f>
        <v/>
      </c>
      <c r="E27">
        <f>IFERROR(INDEX(Dim_Category[CategoryName],MATCH(INDEX(Dim_Vendor[DefaultCategoryID],MATCH($D27,Dim_Vendor[VendorName],0)),Dim_Category[CategoryID],0)),"")</f>
        <v/>
      </c>
      <c r="H27">
        <f>IF($C27="","",IF(SignConvention="Negative = Expense",IF($C27&lt;0,"Expense","Income"),IF($C27&gt;0,"Expense","Income")))</f>
        <v/>
      </c>
      <c r="I27" s="27">
        <f>IF($C27="","",ABS($C27))</f>
        <v/>
      </c>
    </row>
    <row r="28">
      <c r="A28" s="37" t="n"/>
      <c r="C28" s="27" t="n"/>
      <c r="D28">
        <f>IF($B28="","",IFERROR(INDEX($D$17:$D$27,MATCH($B28,$B$17:$B$27,0)),""))</f>
        <v/>
      </c>
      <c r="E28">
        <f>IFERROR(INDEX(Dim_Category[CategoryName],MATCH(INDEX(Dim_Vendor[DefaultCategoryID],MATCH($D28,Dim_Vendor[VendorName],0)),Dim_Category[CategoryID],0)),"")</f>
        <v/>
      </c>
      <c r="H28">
        <f>IF($C28="","",IF(SignConvention="Negative = Expense",IF($C28&lt;0,"Expense","Income"),IF($C28&gt;0,"Expense","Income")))</f>
        <v/>
      </c>
      <c r="I28" s="27">
        <f>IF($C28="","",ABS($C28))</f>
        <v/>
      </c>
    </row>
    <row r="29">
      <c r="A29" s="37" t="n"/>
      <c r="C29" s="27" t="n"/>
      <c r="D29">
        <f>IF($B29="","",IFERROR(INDEX($D$17:$D$28,MATCH($B29,$B$17:$B$28,0)),""))</f>
        <v/>
      </c>
      <c r="E29">
        <f>IFERROR(INDEX(Dim_Category[CategoryName],MATCH(INDEX(Dim_Vendor[DefaultCategoryID],MATCH($D29,Dim_Vendor[VendorName],0)),Dim_Category[CategoryID],0)),"")</f>
        <v/>
      </c>
      <c r="H29">
        <f>IF($C29="","",IF(SignConvention="Negative = Expense",IF($C29&lt;0,"Expense","Income"),IF($C29&gt;0,"Expense","Income")))</f>
        <v/>
      </c>
      <c r="I29" s="27">
        <f>IF($C29="","",ABS($C29))</f>
        <v/>
      </c>
    </row>
    <row r="30">
      <c r="A30" s="37" t="n"/>
      <c r="C30" s="27" t="n"/>
      <c r="D30">
        <f>IF($B30="","",IFERROR(INDEX($D$17:$D$29,MATCH($B30,$B$17:$B$29,0)),""))</f>
        <v/>
      </c>
      <c r="E30">
        <f>IFERROR(INDEX(Dim_Category[CategoryName],MATCH(INDEX(Dim_Vendor[DefaultCategoryID],MATCH($D30,Dim_Vendor[VendorName],0)),Dim_Category[CategoryID],0)),"")</f>
        <v/>
      </c>
      <c r="H30">
        <f>IF($C30="","",IF(SignConvention="Negative = Expense",IF($C30&lt;0,"Expense","Income"),IF($C30&gt;0,"Expense","Income")))</f>
        <v/>
      </c>
      <c r="I30" s="27">
        <f>IF($C30="","",ABS($C30))</f>
        <v/>
      </c>
    </row>
    <row r="31">
      <c r="A31" s="37" t="n"/>
      <c r="C31" s="27" t="n"/>
      <c r="D31">
        <f>IF($B31="","",IFERROR(INDEX($D$17:$D$30,MATCH($B31,$B$17:$B$30,0)),""))</f>
        <v/>
      </c>
      <c r="E31">
        <f>IFERROR(INDEX(Dim_Category[CategoryName],MATCH(INDEX(Dim_Vendor[DefaultCategoryID],MATCH($D31,Dim_Vendor[VendorName],0)),Dim_Category[CategoryID],0)),"")</f>
        <v/>
      </c>
      <c r="H31">
        <f>IF($C31="","",IF(SignConvention="Negative = Expense",IF($C31&lt;0,"Expense","Income"),IF($C31&gt;0,"Expense","Income")))</f>
        <v/>
      </c>
      <c r="I31" s="27">
        <f>IF($C31="","",ABS($C31))</f>
        <v/>
      </c>
    </row>
    <row r="32">
      <c r="A32" s="37" t="n"/>
      <c r="C32" s="27" t="n"/>
      <c r="D32">
        <f>IF($B32="","",IFERROR(INDEX($D$17:$D$31,MATCH($B32,$B$17:$B$31,0)),""))</f>
        <v/>
      </c>
      <c r="E32">
        <f>IFERROR(INDEX(Dim_Category[CategoryName],MATCH(INDEX(Dim_Vendor[DefaultCategoryID],MATCH($D32,Dim_Vendor[VendorName],0)),Dim_Category[CategoryID],0)),"")</f>
        <v/>
      </c>
      <c r="H32">
        <f>IF($C32="","",IF(SignConvention="Negative = Expense",IF($C32&lt;0,"Expense","Income"),IF($C32&gt;0,"Expense","Income")))</f>
        <v/>
      </c>
      <c r="I32" s="27">
        <f>IF($C32="","",ABS($C32))</f>
        <v/>
      </c>
    </row>
    <row r="33">
      <c r="A33" s="37" t="n"/>
      <c r="C33" s="27" t="n"/>
      <c r="D33">
        <f>IF($B33="","",IFERROR(INDEX($D$17:$D$32,MATCH($B33,$B$17:$B$32,0)),""))</f>
        <v/>
      </c>
      <c r="E33">
        <f>IFERROR(INDEX(Dim_Category[CategoryName],MATCH(INDEX(Dim_Vendor[DefaultCategoryID],MATCH($D33,Dim_Vendor[VendorName],0)),Dim_Category[CategoryID],0)),"")</f>
        <v/>
      </c>
      <c r="H33">
        <f>IF($C33="","",IF(SignConvention="Negative = Expense",IF($C33&lt;0,"Expense","Income"),IF($C33&gt;0,"Expense","Income")))</f>
        <v/>
      </c>
      <c r="I33" s="27">
        <f>IF($C33="","",ABS($C33))</f>
        <v/>
      </c>
    </row>
    <row r="34">
      <c r="A34" s="37" t="n"/>
      <c r="C34" s="27" t="n"/>
      <c r="D34">
        <f>IF($B34="","",IFERROR(INDEX($D$17:$D$33,MATCH($B34,$B$17:$B$33,0)),""))</f>
        <v/>
      </c>
      <c r="E34">
        <f>IFERROR(INDEX(Dim_Category[CategoryName],MATCH(INDEX(Dim_Vendor[DefaultCategoryID],MATCH($D34,Dim_Vendor[VendorName],0)),Dim_Category[CategoryID],0)),"")</f>
        <v/>
      </c>
      <c r="H34">
        <f>IF($C34="","",IF(SignConvention="Negative = Expense",IF($C34&lt;0,"Expense","Income"),IF($C34&gt;0,"Expense","Income")))</f>
        <v/>
      </c>
      <c r="I34" s="27">
        <f>IF($C34="","",ABS($C34))</f>
        <v/>
      </c>
    </row>
    <row r="35">
      <c r="A35" s="37" t="n"/>
      <c r="C35" s="27" t="n"/>
      <c r="D35">
        <f>IF($B35="","",IFERROR(INDEX($D$17:$D$34,MATCH($B35,$B$17:$B$34,0)),""))</f>
        <v/>
      </c>
      <c r="E35">
        <f>IFERROR(INDEX(Dim_Category[CategoryName],MATCH(INDEX(Dim_Vendor[DefaultCategoryID],MATCH($D35,Dim_Vendor[VendorName],0)),Dim_Category[CategoryID],0)),"")</f>
        <v/>
      </c>
      <c r="H35">
        <f>IF($C35="","",IF(SignConvention="Negative = Expense",IF($C35&lt;0,"Expense","Income"),IF($C35&gt;0,"Expense","Income")))</f>
        <v/>
      </c>
      <c r="I35" s="27">
        <f>IF($C35="","",ABS($C35))</f>
        <v/>
      </c>
    </row>
    <row r="36">
      <c r="A36" s="37" t="n"/>
      <c r="C36" s="27" t="n"/>
      <c r="D36">
        <f>IF($B36="","",IFERROR(INDEX($D$17:$D$35,MATCH($B36,$B$17:$B$35,0)),""))</f>
        <v/>
      </c>
      <c r="E36">
        <f>IFERROR(INDEX(Dim_Category[CategoryName],MATCH(INDEX(Dim_Vendor[DefaultCategoryID],MATCH($D36,Dim_Vendor[VendorName],0)),Dim_Category[CategoryID],0)),"")</f>
        <v/>
      </c>
      <c r="H36">
        <f>IF($C36="","",IF(SignConvention="Negative = Expense",IF($C36&lt;0,"Expense","Income"),IF($C36&gt;0,"Expense","Income")))</f>
        <v/>
      </c>
      <c r="I36" s="27">
        <f>IF($C36="","",ABS($C36))</f>
        <v/>
      </c>
    </row>
    <row r="37">
      <c r="A37" s="37" t="n"/>
      <c r="C37" s="27" t="n"/>
      <c r="D37">
        <f>IF($B37="","",IFERROR(INDEX($D$17:$D$36,MATCH($B37,$B$17:$B$36,0)),""))</f>
        <v/>
      </c>
      <c r="E37">
        <f>IFERROR(INDEX(Dim_Category[CategoryName],MATCH(INDEX(Dim_Vendor[DefaultCategoryID],MATCH($D37,Dim_Vendor[VendorName],0)),Dim_Category[CategoryID],0)),"")</f>
        <v/>
      </c>
      <c r="H37">
        <f>IF($C37="","",IF(SignConvention="Negative = Expense",IF($C37&lt;0,"Expense","Income"),IF($C37&gt;0,"Expense","Income")))</f>
        <v/>
      </c>
      <c r="I37" s="27">
        <f>IF($C37="","",ABS($C37))</f>
        <v/>
      </c>
    </row>
    <row r="38">
      <c r="A38" s="37" t="n"/>
      <c r="C38" s="27" t="n"/>
      <c r="D38">
        <f>IF($B38="","",IFERROR(INDEX($D$17:$D$37,MATCH($B38,$B$17:$B$37,0)),""))</f>
        <v/>
      </c>
      <c r="E38">
        <f>IFERROR(INDEX(Dim_Category[CategoryName],MATCH(INDEX(Dim_Vendor[DefaultCategoryID],MATCH($D38,Dim_Vendor[VendorName],0)),Dim_Category[CategoryID],0)),"")</f>
        <v/>
      </c>
      <c r="H38">
        <f>IF($C38="","",IF(SignConvention="Negative = Expense",IF($C38&lt;0,"Expense","Income"),IF($C38&gt;0,"Expense","Income")))</f>
        <v/>
      </c>
      <c r="I38" s="27">
        <f>IF($C38="","",ABS($C38))</f>
        <v/>
      </c>
    </row>
    <row r="39">
      <c r="A39" s="37" t="n"/>
      <c r="C39" s="27" t="n"/>
      <c r="D39">
        <f>IF($B39="","",IFERROR(INDEX($D$17:$D$38,MATCH($B39,$B$17:$B$38,0)),""))</f>
        <v/>
      </c>
      <c r="E39">
        <f>IFERROR(INDEX(Dim_Category[CategoryName],MATCH(INDEX(Dim_Vendor[DefaultCategoryID],MATCH($D39,Dim_Vendor[VendorName],0)),Dim_Category[CategoryID],0)),"")</f>
        <v/>
      </c>
      <c r="H39">
        <f>IF($C39="","",IF(SignConvention="Negative = Expense",IF($C39&lt;0,"Expense","Income"),IF($C39&gt;0,"Expense","Income")))</f>
        <v/>
      </c>
      <c r="I39" s="27">
        <f>IF($C39="","",ABS($C39))</f>
        <v/>
      </c>
    </row>
    <row r="40">
      <c r="A40" s="37" t="n"/>
      <c r="C40" s="27" t="n"/>
      <c r="D40">
        <f>IF($B40="","",IFERROR(INDEX($D$17:$D$39,MATCH($B40,$B$17:$B$39,0)),""))</f>
        <v/>
      </c>
      <c r="E40">
        <f>IFERROR(INDEX(Dim_Category[CategoryName],MATCH(INDEX(Dim_Vendor[DefaultCategoryID],MATCH($D40,Dim_Vendor[VendorName],0)),Dim_Category[CategoryID],0)),"")</f>
        <v/>
      </c>
      <c r="H40">
        <f>IF($C40="","",IF(SignConvention="Negative = Expense",IF($C40&lt;0,"Expense","Income"),IF($C40&gt;0,"Expense","Income")))</f>
        <v/>
      </c>
      <c r="I40" s="27">
        <f>IF($C40="","",ABS($C40))</f>
        <v/>
      </c>
    </row>
    <row r="41">
      <c r="A41" s="37" t="n"/>
      <c r="C41" s="27" t="n"/>
      <c r="D41">
        <f>IF($B41="","",IFERROR(INDEX($D$17:$D$40,MATCH($B41,$B$17:$B$40,0)),""))</f>
        <v/>
      </c>
      <c r="E41">
        <f>IFERROR(INDEX(Dim_Category[CategoryName],MATCH(INDEX(Dim_Vendor[DefaultCategoryID],MATCH($D41,Dim_Vendor[VendorName],0)),Dim_Category[CategoryID],0)),"")</f>
        <v/>
      </c>
      <c r="H41">
        <f>IF($C41="","",IF(SignConvention="Negative = Expense",IF($C41&lt;0,"Expense","Income"),IF($C41&gt;0,"Expense","Income")))</f>
        <v/>
      </c>
      <c r="I41" s="27">
        <f>IF($C41="","",ABS($C41))</f>
        <v/>
      </c>
    </row>
    <row r="42">
      <c r="A42" s="37" t="n"/>
      <c r="C42" s="27" t="n"/>
      <c r="D42">
        <f>IF($B42="","",IFERROR(INDEX($D$17:$D$41,MATCH($B42,$B$17:$B$41,0)),""))</f>
        <v/>
      </c>
      <c r="E42">
        <f>IFERROR(INDEX(Dim_Category[CategoryName],MATCH(INDEX(Dim_Vendor[DefaultCategoryID],MATCH($D42,Dim_Vendor[VendorName],0)),Dim_Category[CategoryID],0)),"")</f>
        <v/>
      </c>
      <c r="H42">
        <f>IF($C42="","",IF(SignConvention="Negative = Expense",IF($C42&lt;0,"Expense","Income"),IF($C42&gt;0,"Expense","Income")))</f>
        <v/>
      </c>
      <c r="I42" s="27">
        <f>IF($C42="","",ABS($C42))</f>
        <v/>
      </c>
    </row>
    <row r="43">
      <c r="A43" s="37" t="n"/>
      <c r="C43" s="27" t="n"/>
      <c r="D43">
        <f>IF($B43="","",IFERROR(INDEX($D$17:$D$42,MATCH($B43,$B$17:$B$42,0)),""))</f>
        <v/>
      </c>
      <c r="E43">
        <f>IFERROR(INDEX(Dim_Category[CategoryName],MATCH(INDEX(Dim_Vendor[DefaultCategoryID],MATCH($D43,Dim_Vendor[VendorName],0)),Dim_Category[CategoryID],0)),"")</f>
        <v/>
      </c>
      <c r="H43">
        <f>IF($C43="","",IF(SignConvention="Negative = Expense",IF($C43&lt;0,"Expense","Income"),IF($C43&gt;0,"Expense","Income")))</f>
        <v/>
      </c>
      <c r="I43" s="27">
        <f>IF($C43="","",ABS($C43))</f>
        <v/>
      </c>
    </row>
    <row r="44">
      <c r="A44" s="37" t="n"/>
      <c r="C44" s="27" t="n"/>
      <c r="D44">
        <f>IF($B44="","",IFERROR(INDEX($D$17:$D$43,MATCH($B44,$B$17:$B$43,0)),""))</f>
        <v/>
      </c>
      <c r="E44">
        <f>IFERROR(INDEX(Dim_Category[CategoryName],MATCH(INDEX(Dim_Vendor[DefaultCategoryID],MATCH($D44,Dim_Vendor[VendorName],0)),Dim_Category[CategoryID],0)),"")</f>
        <v/>
      </c>
      <c r="H44">
        <f>IF($C44="","",IF(SignConvention="Negative = Expense",IF($C44&lt;0,"Expense","Income"),IF($C44&gt;0,"Expense","Income")))</f>
        <v/>
      </c>
      <c r="I44" s="27">
        <f>IF($C44="","",ABS($C44))</f>
        <v/>
      </c>
    </row>
    <row r="45">
      <c r="A45" s="37" t="n"/>
      <c r="C45" s="27" t="n"/>
      <c r="D45">
        <f>IF($B45="","",IFERROR(INDEX($D$17:$D$44,MATCH($B45,$B$17:$B$44,0)),""))</f>
        <v/>
      </c>
      <c r="E45">
        <f>IFERROR(INDEX(Dim_Category[CategoryName],MATCH(INDEX(Dim_Vendor[DefaultCategoryID],MATCH($D45,Dim_Vendor[VendorName],0)),Dim_Category[CategoryID],0)),"")</f>
        <v/>
      </c>
      <c r="H45">
        <f>IF($C45="","",IF(SignConvention="Negative = Expense",IF($C45&lt;0,"Expense","Income"),IF($C45&gt;0,"Expense","Income")))</f>
        <v/>
      </c>
      <c r="I45" s="27">
        <f>IF($C45="","",ABS($C45))</f>
        <v/>
      </c>
    </row>
    <row r="46">
      <c r="A46" s="37" t="n"/>
      <c r="C46" s="27" t="n"/>
      <c r="D46">
        <f>IF($B46="","",IFERROR(INDEX($D$17:$D$45,MATCH($B46,$B$17:$B$45,0)),""))</f>
        <v/>
      </c>
      <c r="E46">
        <f>IFERROR(INDEX(Dim_Category[CategoryName],MATCH(INDEX(Dim_Vendor[DefaultCategoryID],MATCH($D46,Dim_Vendor[VendorName],0)),Dim_Category[CategoryID],0)),"")</f>
        <v/>
      </c>
      <c r="H46">
        <f>IF($C46="","",IF(SignConvention="Negative = Expense",IF($C46&lt;0,"Expense","Income"),IF($C46&gt;0,"Expense","Income")))</f>
        <v/>
      </c>
      <c r="I46" s="27">
        <f>IF($C46="","",ABS($C46))</f>
        <v/>
      </c>
    </row>
    <row r="47">
      <c r="A47" s="37" t="n"/>
      <c r="C47" s="27" t="n"/>
      <c r="D47">
        <f>IF($B47="","",IFERROR(INDEX($D$17:$D$46,MATCH($B47,$B$17:$B$46,0)),""))</f>
        <v/>
      </c>
      <c r="E47">
        <f>IFERROR(INDEX(Dim_Category[CategoryName],MATCH(INDEX(Dim_Vendor[DefaultCategoryID],MATCH($D47,Dim_Vendor[VendorName],0)),Dim_Category[CategoryID],0)),"")</f>
        <v/>
      </c>
      <c r="H47">
        <f>IF($C47="","",IF(SignConvention="Negative = Expense",IF($C47&lt;0,"Expense","Income"),IF($C47&gt;0,"Expense","Income")))</f>
        <v/>
      </c>
      <c r="I47" s="27">
        <f>IF($C47="","",ABS($C47))</f>
        <v/>
      </c>
    </row>
    <row r="48">
      <c r="A48" s="37" t="n"/>
      <c r="C48" s="27" t="n"/>
      <c r="D48">
        <f>IF($B48="","",IFERROR(INDEX($D$17:$D$47,MATCH($B48,$B$17:$B$47,0)),""))</f>
        <v/>
      </c>
      <c r="E48">
        <f>IFERROR(INDEX(Dim_Category[CategoryName],MATCH(INDEX(Dim_Vendor[DefaultCategoryID],MATCH($D48,Dim_Vendor[VendorName],0)),Dim_Category[CategoryID],0)),"")</f>
        <v/>
      </c>
      <c r="H48">
        <f>IF($C48="","",IF(SignConvention="Negative = Expense",IF($C48&lt;0,"Expense","Income"),IF($C48&gt;0,"Expense","Income")))</f>
        <v/>
      </c>
      <c r="I48" s="27">
        <f>IF($C48="","",ABS($C48))</f>
        <v/>
      </c>
    </row>
    <row r="49">
      <c r="A49" s="37" t="n"/>
      <c r="C49" s="27" t="n"/>
      <c r="D49">
        <f>IF($B49="","",IFERROR(INDEX($D$17:$D$48,MATCH($B49,$B$17:$B$48,0)),""))</f>
        <v/>
      </c>
      <c r="E49">
        <f>IFERROR(INDEX(Dim_Category[CategoryName],MATCH(INDEX(Dim_Vendor[DefaultCategoryID],MATCH($D49,Dim_Vendor[VendorName],0)),Dim_Category[CategoryID],0)),"")</f>
        <v/>
      </c>
      <c r="H49">
        <f>IF($C49="","",IF(SignConvention="Negative = Expense",IF($C49&lt;0,"Expense","Income"),IF($C49&gt;0,"Expense","Income")))</f>
        <v/>
      </c>
      <c r="I49" s="27">
        <f>IF($C49="","",ABS($C49))</f>
        <v/>
      </c>
    </row>
    <row r="50">
      <c r="A50" s="37" t="n"/>
      <c r="C50" s="27" t="n"/>
      <c r="D50">
        <f>IF($B50="","",IFERROR(INDEX($D$17:$D$49,MATCH($B50,$B$17:$B$49,0)),""))</f>
        <v/>
      </c>
      <c r="E50">
        <f>IFERROR(INDEX(Dim_Category[CategoryName],MATCH(INDEX(Dim_Vendor[DefaultCategoryID],MATCH($D50,Dim_Vendor[VendorName],0)),Dim_Category[CategoryID],0)),"")</f>
        <v/>
      </c>
      <c r="H50">
        <f>IF($C50="","",IF(SignConvention="Negative = Expense",IF($C50&lt;0,"Expense","Income"),IF($C50&gt;0,"Expense","Income")))</f>
        <v/>
      </c>
      <c r="I50" s="27">
        <f>IF($C50="","",ABS($C50))</f>
        <v/>
      </c>
    </row>
    <row r="51">
      <c r="A51" s="37" t="n"/>
      <c r="C51" s="27" t="n"/>
      <c r="D51">
        <f>IF($B51="","",IFERROR(INDEX($D$17:$D$50,MATCH($B51,$B$17:$B$50,0)),""))</f>
        <v/>
      </c>
      <c r="E51">
        <f>IFERROR(INDEX(Dim_Category[CategoryName],MATCH(INDEX(Dim_Vendor[DefaultCategoryID],MATCH($D51,Dim_Vendor[VendorName],0)),Dim_Category[CategoryID],0)),"")</f>
        <v/>
      </c>
      <c r="H51">
        <f>IF($C51="","",IF(SignConvention="Negative = Expense",IF($C51&lt;0,"Expense","Income"),IF($C51&gt;0,"Expense","Income")))</f>
        <v/>
      </c>
      <c r="I51" s="27">
        <f>IF($C51="","",ABS($C51))</f>
        <v/>
      </c>
    </row>
    <row r="52">
      <c r="A52" s="37" t="n"/>
      <c r="C52" s="27" t="n"/>
      <c r="D52">
        <f>IF($B52="","",IFERROR(INDEX($D$17:$D$51,MATCH($B52,$B$17:$B$51,0)),""))</f>
        <v/>
      </c>
      <c r="E52">
        <f>IFERROR(INDEX(Dim_Category[CategoryName],MATCH(INDEX(Dim_Vendor[DefaultCategoryID],MATCH($D52,Dim_Vendor[VendorName],0)),Dim_Category[CategoryID],0)),"")</f>
        <v/>
      </c>
      <c r="H52">
        <f>IF($C52="","",IF(SignConvention="Negative = Expense",IF($C52&lt;0,"Expense","Income"),IF($C52&gt;0,"Expense","Income")))</f>
        <v/>
      </c>
      <c r="I52" s="27">
        <f>IF($C52="","",ABS($C52))</f>
        <v/>
      </c>
    </row>
    <row r="53">
      <c r="A53" s="37" t="n"/>
      <c r="C53" s="27" t="n"/>
      <c r="D53">
        <f>IF($B53="","",IFERROR(INDEX($D$17:$D$52,MATCH($B53,$B$17:$B$52,0)),""))</f>
        <v/>
      </c>
      <c r="E53">
        <f>IFERROR(INDEX(Dim_Category[CategoryName],MATCH(INDEX(Dim_Vendor[DefaultCategoryID],MATCH($D53,Dim_Vendor[VendorName],0)),Dim_Category[CategoryID],0)),"")</f>
        <v/>
      </c>
      <c r="H53">
        <f>IF($C53="","",IF(SignConvention="Negative = Expense",IF($C53&lt;0,"Expense","Income"),IF($C53&gt;0,"Expense","Income")))</f>
        <v/>
      </c>
      <c r="I53" s="27">
        <f>IF($C53="","",ABS($C53))</f>
        <v/>
      </c>
    </row>
    <row r="54">
      <c r="A54" s="37" t="n"/>
      <c r="C54" s="27" t="n"/>
      <c r="D54">
        <f>IF($B54="","",IFERROR(INDEX($D$17:$D$53,MATCH($B54,$B$17:$B$53,0)),""))</f>
        <v/>
      </c>
      <c r="E54">
        <f>IFERROR(INDEX(Dim_Category[CategoryName],MATCH(INDEX(Dim_Vendor[DefaultCategoryID],MATCH($D54,Dim_Vendor[VendorName],0)),Dim_Category[CategoryID],0)),"")</f>
        <v/>
      </c>
      <c r="H54">
        <f>IF($C54="","",IF(SignConvention="Negative = Expense",IF($C54&lt;0,"Expense","Income"),IF($C54&gt;0,"Expense","Income")))</f>
        <v/>
      </c>
      <c r="I54" s="27">
        <f>IF($C54="","",ABS($C54))</f>
        <v/>
      </c>
    </row>
    <row r="55">
      <c r="A55" s="37" t="n"/>
      <c r="C55" s="27" t="n"/>
      <c r="D55">
        <f>IF($B55="","",IFERROR(INDEX($D$17:$D$54,MATCH($B55,$B$17:$B$54,0)),""))</f>
        <v/>
      </c>
      <c r="E55">
        <f>IFERROR(INDEX(Dim_Category[CategoryName],MATCH(INDEX(Dim_Vendor[DefaultCategoryID],MATCH($D55,Dim_Vendor[VendorName],0)),Dim_Category[CategoryID],0)),"")</f>
        <v/>
      </c>
      <c r="H55">
        <f>IF($C55="","",IF(SignConvention="Negative = Expense",IF($C55&lt;0,"Expense","Income"),IF($C55&gt;0,"Expense","Income")))</f>
        <v/>
      </c>
      <c r="I55" s="27">
        <f>IF($C55="","",ABS($C55))</f>
        <v/>
      </c>
    </row>
    <row r="56">
      <c r="A56" s="37" t="n"/>
      <c r="C56" s="27" t="n"/>
      <c r="D56">
        <f>IF($B56="","",IFERROR(INDEX($D$17:$D$55,MATCH($B56,$B$17:$B$55,0)),""))</f>
        <v/>
      </c>
      <c r="E56">
        <f>IFERROR(INDEX(Dim_Category[CategoryName],MATCH(INDEX(Dim_Vendor[DefaultCategoryID],MATCH($D56,Dim_Vendor[VendorName],0)),Dim_Category[CategoryID],0)),"")</f>
        <v/>
      </c>
      <c r="H56">
        <f>IF($C56="","",IF(SignConvention="Negative = Expense",IF($C56&lt;0,"Expense","Income"),IF($C56&gt;0,"Expense","Income")))</f>
        <v/>
      </c>
      <c r="I56" s="27">
        <f>IF($C56="","",ABS($C56))</f>
        <v/>
      </c>
    </row>
    <row r="57">
      <c r="A57" s="37" t="n"/>
      <c r="C57" s="27" t="n"/>
      <c r="D57">
        <f>IF($B57="","",IFERROR(INDEX($D$17:$D$56,MATCH($B57,$B$17:$B$56,0)),""))</f>
        <v/>
      </c>
      <c r="E57">
        <f>IFERROR(INDEX(Dim_Category[CategoryName],MATCH(INDEX(Dim_Vendor[DefaultCategoryID],MATCH($D57,Dim_Vendor[VendorName],0)),Dim_Category[CategoryID],0)),"")</f>
        <v/>
      </c>
      <c r="H57">
        <f>IF($C57="","",IF(SignConvention="Negative = Expense",IF($C57&lt;0,"Expense","Income"),IF($C57&gt;0,"Expense","Income")))</f>
        <v/>
      </c>
      <c r="I57" s="27">
        <f>IF($C57="","",ABS($C57))</f>
        <v/>
      </c>
    </row>
    <row r="58">
      <c r="A58" s="37" t="n"/>
      <c r="C58" s="27" t="n"/>
      <c r="D58">
        <f>IF($B58="","",IFERROR(INDEX($D$17:$D$57,MATCH($B58,$B$17:$B$57,0)),""))</f>
        <v/>
      </c>
      <c r="E58">
        <f>IFERROR(INDEX(Dim_Category[CategoryName],MATCH(INDEX(Dim_Vendor[DefaultCategoryID],MATCH($D58,Dim_Vendor[VendorName],0)),Dim_Category[CategoryID],0)),"")</f>
        <v/>
      </c>
      <c r="H58">
        <f>IF($C58="","",IF(SignConvention="Negative = Expense",IF($C58&lt;0,"Expense","Income"),IF($C58&gt;0,"Expense","Income")))</f>
        <v/>
      </c>
      <c r="I58" s="27">
        <f>IF($C58="","",ABS($C58))</f>
        <v/>
      </c>
    </row>
    <row r="59">
      <c r="A59" s="37" t="n"/>
      <c r="C59" s="27" t="n"/>
      <c r="D59">
        <f>IF($B59="","",IFERROR(INDEX($D$17:$D$58,MATCH($B59,$B$17:$B$58,0)),""))</f>
        <v/>
      </c>
      <c r="E59">
        <f>IFERROR(INDEX(Dim_Category[CategoryName],MATCH(INDEX(Dim_Vendor[DefaultCategoryID],MATCH($D59,Dim_Vendor[VendorName],0)),Dim_Category[CategoryID],0)),"")</f>
        <v/>
      </c>
      <c r="H59">
        <f>IF($C59="","",IF(SignConvention="Negative = Expense",IF($C59&lt;0,"Expense","Income"),IF($C59&gt;0,"Expense","Income")))</f>
        <v/>
      </c>
      <c r="I59" s="27">
        <f>IF($C59="","",ABS($C59))</f>
        <v/>
      </c>
    </row>
    <row r="60">
      <c r="A60" s="37" t="n"/>
      <c r="C60" s="27" t="n"/>
      <c r="D60">
        <f>IF($B60="","",IFERROR(INDEX($D$17:$D$59,MATCH($B60,$B$17:$B$59,0)),""))</f>
        <v/>
      </c>
      <c r="E60">
        <f>IFERROR(INDEX(Dim_Category[CategoryName],MATCH(INDEX(Dim_Vendor[DefaultCategoryID],MATCH($D60,Dim_Vendor[VendorName],0)),Dim_Category[CategoryID],0)),"")</f>
        <v/>
      </c>
      <c r="H60">
        <f>IF($C60="","",IF(SignConvention="Negative = Expense",IF($C60&lt;0,"Expense","Income"),IF($C60&gt;0,"Expense","Income")))</f>
        <v/>
      </c>
      <c r="I60" s="27">
        <f>IF($C60="","",ABS($C60))</f>
        <v/>
      </c>
    </row>
    <row r="61">
      <c r="A61" s="37" t="n"/>
      <c r="C61" s="27" t="n"/>
      <c r="D61">
        <f>IF($B61="","",IFERROR(INDEX($D$17:$D$60,MATCH($B61,$B$17:$B$60,0)),""))</f>
        <v/>
      </c>
      <c r="E61">
        <f>IFERROR(INDEX(Dim_Category[CategoryName],MATCH(INDEX(Dim_Vendor[DefaultCategoryID],MATCH($D61,Dim_Vendor[VendorName],0)),Dim_Category[CategoryID],0)),"")</f>
        <v/>
      </c>
      <c r="H61">
        <f>IF($C61="","",IF(SignConvention="Negative = Expense",IF($C61&lt;0,"Expense","Income"),IF($C61&gt;0,"Expense","Income")))</f>
        <v/>
      </c>
      <c r="I61" s="27">
        <f>IF($C61="","",ABS($C61))</f>
        <v/>
      </c>
    </row>
    <row r="62">
      <c r="A62" s="37" t="n"/>
      <c r="C62" s="27" t="n"/>
      <c r="D62">
        <f>IF($B62="","",IFERROR(INDEX($D$17:$D$61,MATCH($B62,$B$17:$B$61,0)),""))</f>
        <v/>
      </c>
      <c r="E62">
        <f>IFERROR(INDEX(Dim_Category[CategoryName],MATCH(INDEX(Dim_Vendor[DefaultCategoryID],MATCH($D62,Dim_Vendor[VendorName],0)),Dim_Category[CategoryID],0)),"")</f>
        <v/>
      </c>
      <c r="H62">
        <f>IF($C62="","",IF(SignConvention="Negative = Expense",IF($C62&lt;0,"Expense","Income"),IF($C62&gt;0,"Expense","Income")))</f>
        <v/>
      </c>
      <c r="I62" s="27">
        <f>IF($C62="","",ABS($C62))</f>
        <v/>
      </c>
    </row>
    <row r="63">
      <c r="A63" s="37" t="n"/>
      <c r="C63" s="27" t="n"/>
      <c r="D63">
        <f>IF($B63="","",IFERROR(INDEX($D$17:$D$62,MATCH($B63,$B$17:$B$62,0)),""))</f>
        <v/>
      </c>
      <c r="E63">
        <f>IFERROR(INDEX(Dim_Category[CategoryName],MATCH(INDEX(Dim_Vendor[DefaultCategoryID],MATCH($D63,Dim_Vendor[VendorName],0)),Dim_Category[CategoryID],0)),"")</f>
        <v/>
      </c>
      <c r="H63">
        <f>IF($C63="","",IF(SignConvention="Negative = Expense",IF($C63&lt;0,"Expense","Income"),IF($C63&gt;0,"Expense","Income")))</f>
        <v/>
      </c>
      <c r="I63" s="27">
        <f>IF($C63="","",ABS($C63))</f>
        <v/>
      </c>
    </row>
    <row r="64">
      <c r="A64" s="37" t="n"/>
      <c r="C64" s="27" t="n"/>
      <c r="D64">
        <f>IF($B64="","",IFERROR(INDEX($D$17:$D$63,MATCH($B64,$B$17:$B$63,0)),""))</f>
        <v/>
      </c>
      <c r="E64">
        <f>IFERROR(INDEX(Dim_Category[CategoryName],MATCH(INDEX(Dim_Vendor[DefaultCategoryID],MATCH($D64,Dim_Vendor[VendorName],0)),Dim_Category[CategoryID],0)),"")</f>
        <v/>
      </c>
      <c r="H64">
        <f>IF($C64="","",IF(SignConvention="Negative = Expense",IF($C64&lt;0,"Expense","Income"),IF($C64&gt;0,"Expense","Income")))</f>
        <v/>
      </c>
      <c r="I64" s="27">
        <f>IF($C64="","",ABS($C64))</f>
        <v/>
      </c>
    </row>
    <row r="65">
      <c r="A65" s="37" t="n"/>
      <c r="C65" s="27" t="n"/>
      <c r="D65">
        <f>IF($B65="","",IFERROR(INDEX($D$17:$D$64,MATCH($B65,$B$17:$B$64,0)),""))</f>
        <v/>
      </c>
      <c r="E65">
        <f>IFERROR(INDEX(Dim_Category[CategoryName],MATCH(INDEX(Dim_Vendor[DefaultCategoryID],MATCH($D65,Dim_Vendor[VendorName],0)),Dim_Category[CategoryID],0)),"")</f>
        <v/>
      </c>
      <c r="H65">
        <f>IF($C65="","",IF(SignConvention="Negative = Expense",IF($C65&lt;0,"Expense","Income"),IF($C65&gt;0,"Expense","Income")))</f>
        <v/>
      </c>
      <c r="I65" s="27">
        <f>IF($C65="","",ABS($C65))</f>
        <v/>
      </c>
    </row>
    <row r="66">
      <c r="A66" s="37" t="n"/>
      <c r="C66" s="27" t="n"/>
      <c r="D66">
        <f>IF($B66="","",IFERROR(INDEX($D$17:$D$65,MATCH($B66,$B$17:$B$65,0)),""))</f>
        <v/>
      </c>
      <c r="E66">
        <f>IFERROR(INDEX(Dim_Category[CategoryName],MATCH(INDEX(Dim_Vendor[DefaultCategoryID],MATCH($D66,Dim_Vendor[VendorName],0)),Dim_Category[CategoryID],0)),"")</f>
        <v/>
      </c>
      <c r="H66">
        <f>IF($C66="","",IF(SignConvention="Negative = Expense",IF($C66&lt;0,"Expense","Income"),IF($C66&gt;0,"Expense","Income")))</f>
        <v/>
      </c>
      <c r="I66" s="27">
        <f>IF($C66="","",ABS($C66))</f>
        <v/>
      </c>
    </row>
    <row r="67">
      <c r="A67" s="37" t="n"/>
      <c r="C67" s="27" t="n"/>
      <c r="D67">
        <f>IF($B67="","",IFERROR(INDEX($D$17:$D$66,MATCH($B67,$B$17:$B$66,0)),""))</f>
        <v/>
      </c>
      <c r="E67">
        <f>IFERROR(INDEX(Dim_Category[CategoryName],MATCH(INDEX(Dim_Vendor[DefaultCategoryID],MATCH($D67,Dim_Vendor[VendorName],0)),Dim_Category[CategoryID],0)),"")</f>
        <v/>
      </c>
      <c r="H67">
        <f>IF($C67="","",IF(SignConvention="Negative = Expense",IF($C67&lt;0,"Expense","Income"),IF($C67&gt;0,"Expense","Income")))</f>
        <v/>
      </c>
      <c r="I67" s="27">
        <f>IF($C67="","",ABS($C67))</f>
        <v/>
      </c>
    </row>
    <row r="68">
      <c r="A68" s="37" t="n"/>
      <c r="C68" s="27" t="n"/>
      <c r="D68">
        <f>IF($B68="","",IFERROR(INDEX($D$17:$D$67,MATCH($B68,$B$17:$B$67,0)),""))</f>
        <v/>
      </c>
      <c r="E68">
        <f>IFERROR(INDEX(Dim_Category[CategoryName],MATCH(INDEX(Dim_Vendor[DefaultCategoryID],MATCH($D68,Dim_Vendor[VendorName],0)),Dim_Category[CategoryID],0)),"")</f>
        <v/>
      </c>
      <c r="H68">
        <f>IF($C68="","",IF(SignConvention="Negative = Expense",IF($C68&lt;0,"Expense","Income"),IF($C68&gt;0,"Expense","Income")))</f>
        <v/>
      </c>
      <c r="I68" s="27">
        <f>IF($C68="","",ABS($C68))</f>
        <v/>
      </c>
    </row>
    <row r="69">
      <c r="A69" s="37" t="n"/>
      <c r="C69" s="27" t="n"/>
      <c r="D69">
        <f>IF($B69="","",IFERROR(INDEX($D$17:$D$68,MATCH($B69,$B$17:$B$68,0)),""))</f>
        <v/>
      </c>
      <c r="E69">
        <f>IFERROR(INDEX(Dim_Category[CategoryName],MATCH(INDEX(Dim_Vendor[DefaultCategoryID],MATCH($D69,Dim_Vendor[VendorName],0)),Dim_Category[CategoryID],0)),"")</f>
        <v/>
      </c>
      <c r="H69">
        <f>IF($C69="","",IF(SignConvention="Negative = Expense",IF($C69&lt;0,"Expense","Income"),IF($C69&gt;0,"Expense","Income")))</f>
        <v/>
      </c>
      <c r="I69" s="27">
        <f>IF($C69="","",ABS($C69))</f>
        <v/>
      </c>
    </row>
    <row r="70">
      <c r="A70" s="37" t="n"/>
      <c r="C70" s="27" t="n"/>
      <c r="D70">
        <f>IF($B70="","",IFERROR(INDEX($D$17:$D$69,MATCH($B70,$B$17:$B$69,0)),""))</f>
        <v/>
      </c>
      <c r="E70">
        <f>IFERROR(INDEX(Dim_Category[CategoryName],MATCH(INDEX(Dim_Vendor[DefaultCategoryID],MATCH($D70,Dim_Vendor[VendorName],0)),Dim_Category[CategoryID],0)),"")</f>
        <v/>
      </c>
      <c r="H70">
        <f>IF($C70="","",IF(SignConvention="Negative = Expense",IF($C70&lt;0,"Expense","Income"),IF($C70&gt;0,"Expense","Income")))</f>
        <v/>
      </c>
      <c r="I70" s="27">
        <f>IF($C70="","",ABS($C70))</f>
        <v/>
      </c>
    </row>
    <row r="71">
      <c r="A71" s="37" t="n"/>
      <c r="C71" s="27" t="n"/>
      <c r="D71">
        <f>IF($B71="","",IFERROR(INDEX($D$17:$D$70,MATCH($B71,$B$17:$B$70,0)),""))</f>
        <v/>
      </c>
      <c r="E71">
        <f>IFERROR(INDEX(Dim_Category[CategoryName],MATCH(INDEX(Dim_Vendor[DefaultCategoryID],MATCH($D71,Dim_Vendor[VendorName],0)),Dim_Category[CategoryID],0)),"")</f>
        <v/>
      </c>
      <c r="H71">
        <f>IF($C71="","",IF(SignConvention="Negative = Expense",IF($C71&lt;0,"Expense","Income"),IF($C71&gt;0,"Expense","Income")))</f>
        <v/>
      </c>
      <c r="I71" s="27">
        <f>IF($C71="","",ABS($C71))</f>
        <v/>
      </c>
    </row>
    <row r="72">
      <c r="A72" s="37" t="n"/>
      <c r="C72" s="27" t="n"/>
      <c r="D72">
        <f>IF($B72="","",IFERROR(INDEX($D$17:$D$71,MATCH($B72,$B$17:$B$71,0)),""))</f>
        <v/>
      </c>
      <c r="E72">
        <f>IFERROR(INDEX(Dim_Category[CategoryName],MATCH(INDEX(Dim_Vendor[DefaultCategoryID],MATCH($D72,Dim_Vendor[VendorName],0)),Dim_Category[CategoryID],0)),"")</f>
        <v/>
      </c>
      <c r="H72">
        <f>IF($C72="","",IF(SignConvention="Negative = Expense",IF($C72&lt;0,"Expense","Income"),IF($C72&gt;0,"Expense","Income")))</f>
        <v/>
      </c>
      <c r="I72" s="27">
        <f>IF($C72="","",ABS($C72))</f>
        <v/>
      </c>
    </row>
    <row r="73">
      <c r="A73" s="37" t="n"/>
      <c r="C73" s="27" t="n"/>
      <c r="D73">
        <f>IF($B73="","",IFERROR(INDEX($D$17:$D$72,MATCH($B73,$B$17:$B$72,0)),""))</f>
        <v/>
      </c>
      <c r="E73">
        <f>IFERROR(INDEX(Dim_Category[CategoryName],MATCH(INDEX(Dim_Vendor[DefaultCategoryID],MATCH($D73,Dim_Vendor[VendorName],0)),Dim_Category[CategoryID],0)),"")</f>
        <v/>
      </c>
      <c r="H73">
        <f>IF($C73="","",IF(SignConvention="Negative = Expense",IF($C73&lt;0,"Expense","Income"),IF($C73&gt;0,"Expense","Income")))</f>
        <v/>
      </c>
      <c r="I73" s="27">
        <f>IF($C73="","",ABS($C73))</f>
        <v/>
      </c>
    </row>
    <row r="74">
      <c r="A74" s="37" t="n"/>
      <c r="C74" s="27" t="n"/>
      <c r="D74">
        <f>IF($B74="","",IFERROR(INDEX($D$17:$D$73,MATCH($B74,$B$17:$B$73,0)),""))</f>
        <v/>
      </c>
      <c r="E74">
        <f>IFERROR(INDEX(Dim_Category[CategoryName],MATCH(INDEX(Dim_Vendor[DefaultCategoryID],MATCH($D74,Dim_Vendor[VendorName],0)),Dim_Category[CategoryID],0)),"")</f>
        <v/>
      </c>
      <c r="H74">
        <f>IF($C74="","",IF(SignConvention="Negative = Expense",IF($C74&lt;0,"Expense","Income"),IF($C74&gt;0,"Expense","Income")))</f>
        <v/>
      </c>
      <c r="I74" s="27">
        <f>IF($C74="","",ABS($C74))</f>
        <v/>
      </c>
    </row>
    <row r="75">
      <c r="A75" s="37" t="n"/>
      <c r="C75" s="27" t="n"/>
      <c r="D75">
        <f>IF($B75="","",IFERROR(INDEX($D$17:$D$74,MATCH($B75,$B$17:$B$74,0)),""))</f>
        <v/>
      </c>
      <c r="E75">
        <f>IFERROR(INDEX(Dim_Category[CategoryName],MATCH(INDEX(Dim_Vendor[DefaultCategoryID],MATCH($D75,Dim_Vendor[VendorName],0)),Dim_Category[CategoryID],0)),"")</f>
        <v/>
      </c>
      <c r="H75">
        <f>IF($C75="","",IF(SignConvention="Negative = Expense",IF($C75&lt;0,"Expense","Income"),IF($C75&gt;0,"Expense","Income")))</f>
        <v/>
      </c>
      <c r="I75" s="27">
        <f>IF($C75="","",ABS($C75))</f>
        <v/>
      </c>
    </row>
    <row r="76">
      <c r="A76" s="37" t="n"/>
      <c r="C76" s="27" t="n"/>
      <c r="D76">
        <f>IF($B76="","",IFERROR(INDEX($D$17:$D$75,MATCH($B76,$B$17:$B$75,0)),""))</f>
        <v/>
      </c>
      <c r="E76">
        <f>IFERROR(INDEX(Dim_Category[CategoryName],MATCH(INDEX(Dim_Vendor[DefaultCategoryID],MATCH($D76,Dim_Vendor[VendorName],0)),Dim_Category[CategoryID],0)),"")</f>
        <v/>
      </c>
      <c r="H76">
        <f>IF($C76="","",IF(SignConvention="Negative = Expense",IF($C76&lt;0,"Expense","Income"),IF($C76&gt;0,"Expense","Income")))</f>
        <v/>
      </c>
      <c r="I76" s="27">
        <f>IF($C76="","",ABS($C76))</f>
        <v/>
      </c>
    </row>
    <row r="77">
      <c r="A77" s="37" t="n"/>
      <c r="C77" s="27" t="n"/>
      <c r="D77">
        <f>IF($B77="","",IFERROR(INDEX($D$17:$D$76,MATCH($B77,$B$17:$B$76,0)),""))</f>
        <v/>
      </c>
      <c r="E77">
        <f>IFERROR(INDEX(Dim_Category[CategoryName],MATCH(INDEX(Dim_Vendor[DefaultCategoryID],MATCH($D77,Dim_Vendor[VendorName],0)),Dim_Category[CategoryID],0)),"")</f>
        <v/>
      </c>
      <c r="H77">
        <f>IF($C77="","",IF(SignConvention="Negative = Expense",IF($C77&lt;0,"Expense","Income"),IF($C77&gt;0,"Expense","Income")))</f>
        <v/>
      </c>
      <c r="I77" s="27">
        <f>IF($C77="","",ABS($C77))</f>
        <v/>
      </c>
    </row>
    <row r="78">
      <c r="A78" s="37" t="n"/>
      <c r="C78" s="27" t="n"/>
      <c r="D78">
        <f>IF($B78="","",IFERROR(INDEX($D$17:$D$77,MATCH($B78,$B$17:$B$77,0)),""))</f>
        <v/>
      </c>
      <c r="E78">
        <f>IFERROR(INDEX(Dim_Category[CategoryName],MATCH(INDEX(Dim_Vendor[DefaultCategoryID],MATCH($D78,Dim_Vendor[VendorName],0)),Dim_Category[CategoryID],0)),"")</f>
        <v/>
      </c>
      <c r="H78">
        <f>IF($C78="","",IF(SignConvention="Negative = Expense",IF($C78&lt;0,"Expense","Income"),IF($C78&gt;0,"Expense","Income")))</f>
        <v/>
      </c>
      <c r="I78" s="27">
        <f>IF($C78="","",ABS($C78))</f>
        <v/>
      </c>
    </row>
    <row r="79">
      <c r="A79" s="37" t="n"/>
      <c r="C79" s="27" t="n"/>
      <c r="D79">
        <f>IF($B79="","",IFERROR(INDEX($D$17:$D$78,MATCH($B79,$B$17:$B$78,0)),""))</f>
        <v/>
      </c>
      <c r="E79">
        <f>IFERROR(INDEX(Dim_Category[CategoryName],MATCH(INDEX(Dim_Vendor[DefaultCategoryID],MATCH($D79,Dim_Vendor[VendorName],0)),Dim_Category[CategoryID],0)),"")</f>
        <v/>
      </c>
      <c r="H79">
        <f>IF($C79="","",IF(SignConvention="Negative = Expense",IF($C79&lt;0,"Expense","Income"),IF($C79&gt;0,"Expense","Income")))</f>
        <v/>
      </c>
      <c r="I79" s="27">
        <f>IF($C79="","",ABS($C79))</f>
        <v/>
      </c>
    </row>
    <row r="80">
      <c r="A80" s="37" t="n"/>
      <c r="C80" s="27" t="n"/>
      <c r="D80">
        <f>IF($B80="","",IFERROR(INDEX($D$17:$D$79,MATCH($B80,$B$17:$B$79,0)),""))</f>
        <v/>
      </c>
      <c r="E80">
        <f>IFERROR(INDEX(Dim_Category[CategoryName],MATCH(INDEX(Dim_Vendor[DefaultCategoryID],MATCH($D80,Dim_Vendor[VendorName],0)),Dim_Category[CategoryID],0)),"")</f>
        <v/>
      </c>
      <c r="H80">
        <f>IF($C80="","",IF(SignConvention="Negative = Expense",IF($C80&lt;0,"Expense","Income"),IF($C80&gt;0,"Expense","Income")))</f>
        <v/>
      </c>
      <c r="I80" s="27">
        <f>IF($C80="","",ABS($C80))</f>
        <v/>
      </c>
    </row>
    <row r="81">
      <c r="A81" s="37" t="n"/>
      <c r="C81" s="27" t="n"/>
      <c r="D81">
        <f>IF($B81="","",IFERROR(INDEX($D$17:$D$80,MATCH($B81,$B$17:$B$80,0)),""))</f>
        <v/>
      </c>
      <c r="E81">
        <f>IFERROR(INDEX(Dim_Category[CategoryName],MATCH(INDEX(Dim_Vendor[DefaultCategoryID],MATCH($D81,Dim_Vendor[VendorName],0)),Dim_Category[CategoryID],0)),"")</f>
        <v/>
      </c>
      <c r="H81">
        <f>IF($C81="","",IF(SignConvention="Negative = Expense",IF($C81&lt;0,"Expense","Income"),IF($C81&gt;0,"Expense","Income")))</f>
        <v/>
      </c>
      <c r="I81" s="27">
        <f>IF($C81="","",ABS($C81))</f>
        <v/>
      </c>
    </row>
    <row r="82">
      <c r="A82" s="37" t="n"/>
      <c r="C82" s="27" t="n"/>
      <c r="D82">
        <f>IF($B82="","",IFERROR(INDEX($D$17:$D$81,MATCH($B82,$B$17:$B$81,0)),""))</f>
        <v/>
      </c>
      <c r="E82">
        <f>IFERROR(INDEX(Dim_Category[CategoryName],MATCH(INDEX(Dim_Vendor[DefaultCategoryID],MATCH($D82,Dim_Vendor[VendorName],0)),Dim_Category[CategoryID],0)),"")</f>
        <v/>
      </c>
      <c r="H82">
        <f>IF($C82="","",IF(SignConvention="Negative = Expense",IF($C82&lt;0,"Expense","Income"),IF($C82&gt;0,"Expense","Income")))</f>
        <v/>
      </c>
      <c r="I82" s="27">
        <f>IF($C82="","",ABS($C82))</f>
        <v/>
      </c>
    </row>
    <row r="83">
      <c r="A83" s="37" t="n"/>
      <c r="C83" s="27" t="n"/>
      <c r="D83">
        <f>IF($B83="","",IFERROR(INDEX($D$17:$D$82,MATCH($B83,$B$17:$B$82,0)),""))</f>
        <v/>
      </c>
      <c r="E83">
        <f>IFERROR(INDEX(Dim_Category[CategoryName],MATCH(INDEX(Dim_Vendor[DefaultCategoryID],MATCH($D83,Dim_Vendor[VendorName],0)),Dim_Category[CategoryID],0)),"")</f>
        <v/>
      </c>
      <c r="H83">
        <f>IF($C83="","",IF(SignConvention="Negative = Expense",IF($C83&lt;0,"Expense","Income"),IF($C83&gt;0,"Expense","Income")))</f>
        <v/>
      </c>
      <c r="I83" s="27">
        <f>IF($C83="","",ABS($C83))</f>
        <v/>
      </c>
    </row>
    <row r="84">
      <c r="A84" s="37" t="n"/>
      <c r="C84" s="27" t="n"/>
      <c r="D84">
        <f>IF($B84="","",IFERROR(INDEX($D$17:$D$83,MATCH($B84,$B$17:$B$83,0)),""))</f>
        <v/>
      </c>
      <c r="E84">
        <f>IFERROR(INDEX(Dim_Category[CategoryName],MATCH(INDEX(Dim_Vendor[DefaultCategoryID],MATCH($D84,Dim_Vendor[VendorName],0)),Dim_Category[CategoryID],0)),"")</f>
        <v/>
      </c>
      <c r="H84">
        <f>IF($C84="","",IF(SignConvention="Negative = Expense",IF($C84&lt;0,"Expense","Income"),IF($C84&gt;0,"Expense","Income")))</f>
        <v/>
      </c>
      <c r="I84" s="27">
        <f>IF($C84="","",ABS($C84))</f>
        <v/>
      </c>
    </row>
    <row r="85">
      <c r="A85" s="37" t="n"/>
      <c r="C85" s="27" t="n"/>
      <c r="D85">
        <f>IF($B85="","",IFERROR(INDEX($D$17:$D$84,MATCH($B85,$B$17:$B$84,0)),""))</f>
        <v/>
      </c>
      <c r="E85">
        <f>IFERROR(INDEX(Dim_Category[CategoryName],MATCH(INDEX(Dim_Vendor[DefaultCategoryID],MATCH($D85,Dim_Vendor[VendorName],0)),Dim_Category[CategoryID],0)),"")</f>
        <v/>
      </c>
      <c r="H85">
        <f>IF($C85="","",IF(SignConvention="Negative = Expense",IF($C85&lt;0,"Expense","Income"),IF($C85&gt;0,"Expense","Income")))</f>
        <v/>
      </c>
      <c r="I85" s="27">
        <f>IF($C85="","",ABS($C85))</f>
        <v/>
      </c>
    </row>
    <row r="86">
      <c r="A86" s="37" t="n"/>
      <c r="C86" s="27" t="n"/>
      <c r="D86">
        <f>IF($B86="","",IFERROR(INDEX($D$17:$D$85,MATCH($B86,$B$17:$B$85,0)),""))</f>
        <v/>
      </c>
      <c r="E86">
        <f>IFERROR(INDEX(Dim_Category[CategoryName],MATCH(INDEX(Dim_Vendor[DefaultCategoryID],MATCH($D86,Dim_Vendor[VendorName],0)),Dim_Category[CategoryID],0)),"")</f>
        <v/>
      </c>
      <c r="H86">
        <f>IF($C86="","",IF(SignConvention="Negative = Expense",IF($C86&lt;0,"Expense","Income"),IF($C86&gt;0,"Expense","Income")))</f>
        <v/>
      </c>
      <c r="I86" s="27">
        <f>IF($C86="","",ABS($C86))</f>
        <v/>
      </c>
    </row>
    <row r="87">
      <c r="A87" s="37" t="n"/>
      <c r="C87" s="27" t="n"/>
      <c r="D87">
        <f>IF($B87="","",IFERROR(INDEX($D$17:$D$86,MATCH($B87,$B$17:$B$86,0)),""))</f>
        <v/>
      </c>
      <c r="E87">
        <f>IFERROR(INDEX(Dim_Category[CategoryName],MATCH(INDEX(Dim_Vendor[DefaultCategoryID],MATCH($D87,Dim_Vendor[VendorName],0)),Dim_Category[CategoryID],0)),"")</f>
        <v/>
      </c>
      <c r="H87">
        <f>IF($C87="","",IF(SignConvention="Negative = Expense",IF($C87&lt;0,"Expense","Income"),IF($C87&gt;0,"Expense","Income")))</f>
        <v/>
      </c>
      <c r="I87" s="27">
        <f>IF($C87="","",ABS($C87))</f>
        <v/>
      </c>
    </row>
    <row r="88">
      <c r="A88" s="37" t="n"/>
      <c r="C88" s="27" t="n"/>
      <c r="D88">
        <f>IF($B88="","",IFERROR(INDEX($D$17:$D$87,MATCH($B88,$B$17:$B$87,0)),""))</f>
        <v/>
      </c>
      <c r="E88">
        <f>IFERROR(INDEX(Dim_Category[CategoryName],MATCH(INDEX(Dim_Vendor[DefaultCategoryID],MATCH($D88,Dim_Vendor[VendorName],0)),Dim_Category[CategoryID],0)),"")</f>
        <v/>
      </c>
      <c r="H88">
        <f>IF($C88="","",IF(SignConvention="Negative = Expense",IF($C88&lt;0,"Expense","Income"),IF($C88&gt;0,"Expense","Income")))</f>
        <v/>
      </c>
      <c r="I88" s="27">
        <f>IF($C88="","",ABS($C88))</f>
        <v/>
      </c>
    </row>
    <row r="89">
      <c r="A89" s="37" t="n"/>
      <c r="C89" s="27" t="n"/>
      <c r="D89">
        <f>IF($B89="","",IFERROR(INDEX($D$17:$D$88,MATCH($B89,$B$17:$B$88,0)),""))</f>
        <v/>
      </c>
      <c r="E89">
        <f>IFERROR(INDEX(Dim_Category[CategoryName],MATCH(INDEX(Dim_Vendor[DefaultCategoryID],MATCH($D89,Dim_Vendor[VendorName],0)),Dim_Category[CategoryID],0)),"")</f>
        <v/>
      </c>
      <c r="H89">
        <f>IF($C89="","",IF(SignConvention="Negative = Expense",IF($C89&lt;0,"Expense","Income"),IF($C89&gt;0,"Expense","Income")))</f>
        <v/>
      </c>
      <c r="I89" s="27">
        <f>IF($C89="","",ABS($C89))</f>
        <v/>
      </c>
    </row>
    <row r="90">
      <c r="A90" s="37" t="n"/>
      <c r="C90" s="27" t="n"/>
      <c r="D90">
        <f>IF($B90="","",IFERROR(INDEX($D$17:$D$89,MATCH($B90,$B$17:$B$89,0)),""))</f>
        <v/>
      </c>
      <c r="E90">
        <f>IFERROR(INDEX(Dim_Category[CategoryName],MATCH(INDEX(Dim_Vendor[DefaultCategoryID],MATCH($D90,Dim_Vendor[VendorName],0)),Dim_Category[CategoryID],0)),"")</f>
        <v/>
      </c>
      <c r="H90">
        <f>IF($C90="","",IF(SignConvention="Negative = Expense",IF($C90&lt;0,"Expense","Income"),IF($C90&gt;0,"Expense","Income")))</f>
        <v/>
      </c>
      <c r="I90" s="27">
        <f>IF($C90="","",ABS($C90))</f>
        <v/>
      </c>
    </row>
    <row r="91">
      <c r="A91" s="37" t="n"/>
      <c r="C91" s="27" t="n"/>
      <c r="D91">
        <f>IF($B91="","",IFERROR(INDEX($D$17:$D$90,MATCH($B91,$B$17:$B$90,0)),""))</f>
        <v/>
      </c>
      <c r="E91">
        <f>IFERROR(INDEX(Dim_Category[CategoryName],MATCH(INDEX(Dim_Vendor[DefaultCategoryID],MATCH($D91,Dim_Vendor[VendorName],0)),Dim_Category[CategoryID],0)),"")</f>
        <v/>
      </c>
      <c r="H91">
        <f>IF($C91="","",IF(SignConvention="Negative = Expense",IF($C91&lt;0,"Expense","Income"),IF($C91&gt;0,"Expense","Income")))</f>
        <v/>
      </c>
      <c r="I91" s="27">
        <f>IF($C91="","",ABS($C91))</f>
        <v/>
      </c>
    </row>
    <row r="92">
      <c r="A92" s="37" t="n"/>
      <c r="C92" s="27" t="n"/>
      <c r="D92">
        <f>IF($B92="","",IFERROR(INDEX($D$17:$D$91,MATCH($B92,$B$17:$B$91,0)),""))</f>
        <v/>
      </c>
      <c r="E92">
        <f>IFERROR(INDEX(Dim_Category[CategoryName],MATCH(INDEX(Dim_Vendor[DefaultCategoryID],MATCH($D92,Dim_Vendor[VendorName],0)),Dim_Category[CategoryID],0)),"")</f>
        <v/>
      </c>
      <c r="H92">
        <f>IF($C92="","",IF(SignConvention="Negative = Expense",IF($C92&lt;0,"Expense","Income"),IF($C92&gt;0,"Expense","Income")))</f>
        <v/>
      </c>
      <c r="I92" s="27">
        <f>IF($C92="","",ABS($C92))</f>
        <v/>
      </c>
    </row>
    <row r="93">
      <c r="A93" s="37" t="n"/>
      <c r="C93" s="27" t="n"/>
      <c r="D93">
        <f>IF($B93="","",IFERROR(INDEX($D$17:$D$92,MATCH($B93,$B$17:$B$92,0)),""))</f>
        <v/>
      </c>
      <c r="E93">
        <f>IFERROR(INDEX(Dim_Category[CategoryName],MATCH(INDEX(Dim_Vendor[DefaultCategoryID],MATCH($D93,Dim_Vendor[VendorName],0)),Dim_Category[CategoryID],0)),"")</f>
        <v/>
      </c>
      <c r="H93">
        <f>IF($C93="","",IF(SignConvention="Negative = Expense",IF($C93&lt;0,"Expense","Income"),IF($C93&gt;0,"Expense","Income")))</f>
        <v/>
      </c>
      <c r="I93" s="27">
        <f>IF($C93="","",ABS($C93))</f>
        <v/>
      </c>
    </row>
    <row r="94">
      <c r="A94" s="37" t="n"/>
      <c r="C94" s="27" t="n"/>
      <c r="D94">
        <f>IF($B94="","",IFERROR(INDEX($D$17:$D$93,MATCH($B94,$B$17:$B$93,0)),""))</f>
        <v/>
      </c>
      <c r="E94">
        <f>IFERROR(INDEX(Dim_Category[CategoryName],MATCH(INDEX(Dim_Vendor[DefaultCategoryID],MATCH($D94,Dim_Vendor[VendorName],0)),Dim_Category[CategoryID],0)),"")</f>
        <v/>
      </c>
      <c r="H94">
        <f>IF($C94="","",IF(SignConvention="Negative = Expense",IF($C94&lt;0,"Expense","Income"),IF($C94&gt;0,"Expense","Income")))</f>
        <v/>
      </c>
      <c r="I94" s="27">
        <f>IF($C94="","",ABS($C94))</f>
        <v/>
      </c>
    </row>
    <row r="95">
      <c r="A95" s="37" t="n"/>
      <c r="C95" s="27" t="n"/>
      <c r="D95">
        <f>IF($B95="","",IFERROR(INDEX($D$17:$D$94,MATCH($B95,$B$17:$B$94,0)),""))</f>
        <v/>
      </c>
      <c r="E95">
        <f>IFERROR(INDEX(Dim_Category[CategoryName],MATCH(INDEX(Dim_Vendor[DefaultCategoryID],MATCH($D95,Dim_Vendor[VendorName],0)),Dim_Category[CategoryID],0)),"")</f>
        <v/>
      </c>
      <c r="H95">
        <f>IF($C95="","",IF(SignConvention="Negative = Expense",IF($C95&lt;0,"Expense","Income"),IF($C95&gt;0,"Expense","Income")))</f>
        <v/>
      </c>
      <c r="I95" s="27">
        <f>IF($C95="","",ABS($C95))</f>
        <v/>
      </c>
    </row>
    <row r="96">
      <c r="A96" s="37" t="n"/>
      <c r="C96" s="27" t="n"/>
      <c r="D96">
        <f>IF($B96="","",IFERROR(INDEX($D$17:$D$95,MATCH($B96,$B$17:$B$95,0)),""))</f>
        <v/>
      </c>
      <c r="E96">
        <f>IFERROR(INDEX(Dim_Category[CategoryName],MATCH(INDEX(Dim_Vendor[DefaultCategoryID],MATCH($D96,Dim_Vendor[VendorName],0)),Dim_Category[CategoryID],0)),"")</f>
        <v/>
      </c>
      <c r="H96">
        <f>IF($C96="","",IF(SignConvention="Negative = Expense",IF($C96&lt;0,"Expense","Income"),IF($C96&gt;0,"Expense","Income")))</f>
        <v/>
      </c>
      <c r="I96" s="27">
        <f>IF($C96="","",ABS($C96))</f>
        <v/>
      </c>
    </row>
    <row r="97">
      <c r="A97" s="37" t="n"/>
      <c r="C97" s="27" t="n"/>
      <c r="D97">
        <f>IF($B97="","",IFERROR(INDEX($D$17:$D$96,MATCH($B97,$B$17:$B$96,0)),""))</f>
        <v/>
      </c>
      <c r="E97">
        <f>IFERROR(INDEX(Dim_Category[CategoryName],MATCH(INDEX(Dim_Vendor[DefaultCategoryID],MATCH($D97,Dim_Vendor[VendorName],0)),Dim_Category[CategoryID],0)),"")</f>
        <v/>
      </c>
      <c r="H97">
        <f>IF($C97="","",IF(SignConvention="Negative = Expense",IF($C97&lt;0,"Expense","Income"),IF($C97&gt;0,"Expense","Income")))</f>
        <v/>
      </c>
      <c r="I97" s="27">
        <f>IF($C97="","",ABS($C97))</f>
        <v/>
      </c>
    </row>
    <row r="98">
      <c r="A98" s="37" t="n"/>
      <c r="C98" s="27" t="n"/>
      <c r="D98">
        <f>IF($B98="","",IFERROR(INDEX($D$17:$D$97,MATCH($B98,$B$17:$B$97,0)),""))</f>
        <v/>
      </c>
      <c r="E98">
        <f>IFERROR(INDEX(Dim_Category[CategoryName],MATCH(INDEX(Dim_Vendor[DefaultCategoryID],MATCH($D98,Dim_Vendor[VendorName],0)),Dim_Category[CategoryID],0)),"")</f>
        <v/>
      </c>
      <c r="H98">
        <f>IF($C98="","",IF(SignConvention="Negative = Expense",IF($C98&lt;0,"Expense","Income"),IF($C98&gt;0,"Expense","Income")))</f>
        <v/>
      </c>
      <c r="I98" s="27">
        <f>IF($C98="","",ABS($C98))</f>
        <v/>
      </c>
    </row>
    <row r="99">
      <c r="A99" s="37" t="n"/>
      <c r="C99" s="27" t="n"/>
      <c r="D99">
        <f>IF($B99="","",IFERROR(INDEX($D$17:$D$98,MATCH($B99,$B$17:$B$98,0)),""))</f>
        <v/>
      </c>
      <c r="E99">
        <f>IFERROR(INDEX(Dim_Category[CategoryName],MATCH(INDEX(Dim_Vendor[DefaultCategoryID],MATCH($D99,Dim_Vendor[VendorName],0)),Dim_Category[CategoryID],0)),"")</f>
        <v/>
      </c>
      <c r="H99">
        <f>IF($C99="","",IF(SignConvention="Negative = Expense",IF($C99&lt;0,"Expense","Income"),IF($C99&gt;0,"Expense","Income")))</f>
        <v/>
      </c>
      <c r="I99" s="27">
        <f>IF($C99="","",ABS($C99))</f>
        <v/>
      </c>
    </row>
    <row r="100">
      <c r="A100" s="37" t="n"/>
      <c r="C100" s="27" t="n"/>
      <c r="D100">
        <f>IF($B100="","",IFERROR(INDEX($D$17:$D$99,MATCH($B100,$B$17:$B$99,0)),""))</f>
        <v/>
      </c>
      <c r="E100">
        <f>IFERROR(INDEX(Dim_Category[CategoryName],MATCH(INDEX(Dim_Vendor[DefaultCategoryID],MATCH($D100,Dim_Vendor[VendorName],0)),Dim_Category[CategoryID],0)),"")</f>
        <v/>
      </c>
      <c r="H100">
        <f>IF($C100="","",IF(SignConvention="Negative = Expense",IF($C100&lt;0,"Expense","Income"),IF($C100&gt;0,"Expense","Income")))</f>
        <v/>
      </c>
      <c r="I100" s="27">
        <f>IF($C100="","",ABS($C100))</f>
        <v/>
      </c>
    </row>
    <row r="101">
      <c r="A101" s="37" t="n"/>
      <c r="C101" s="27" t="n"/>
      <c r="D101">
        <f>IF($B101="","",IFERROR(INDEX($D$17:$D$100,MATCH($B101,$B$17:$B$100,0)),""))</f>
        <v/>
      </c>
      <c r="E101">
        <f>IFERROR(INDEX(Dim_Category[CategoryName],MATCH(INDEX(Dim_Vendor[DefaultCategoryID],MATCH($D101,Dim_Vendor[VendorName],0)),Dim_Category[CategoryID],0)),"")</f>
        <v/>
      </c>
      <c r="H101">
        <f>IF($C101="","",IF(SignConvention="Negative = Expense",IF($C101&lt;0,"Expense","Income"),IF($C101&gt;0,"Expense","Income")))</f>
        <v/>
      </c>
      <c r="I101" s="27">
        <f>IF($C101="","",ABS($C101))</f>
        <v/>
      </c>
    </row>
    <row r="102">
      <c r="A102" s="37" t="n"/>
      <c r="C102" s="27" t="n"/>
      <c r="D102">
        <f>IF($B102="","",IFERROR(INDEX($D$17:$D$101,MATCH($B102,$B$17:$B$101,0)),""))</f>
        <v/>
      </c>
      <c r="E102">
        <f>IFERROR(INDEX(Dim_Category[CategoryName],MATCH(INDEX(Dim_Vendor[DefaultCategoryID],MATCH($D102,Dim_Vendor[VendorName],0)),Dim_Category[CategoryID],0)),"")</f>
        <v/>
      </c>
      <c r="H102">
        <f>IF($C102="","",IF(SignConvention="Negative = Expense",IF($C102&lt;0,"Expense","Income"),IF($C102&gt;0,"Expense","Income")))</f>
        <v/>
      </c>
      <c r="I102" s="27">
        <f>IF($C102="","",ABS($C102))</f>
        <v/>
      </c>
    </row>
    <row r="103">
      <c r="A103" s="37" t="n"/>
      <c r="C103" s="27" t="n"/>
      <c r="D103">
        <f>IF($B103="","",IFERROR(INDEX($D$17:$D$102,MATCH($B103,$B$17:$B$102,0)),""))</f>
        <v/>
      </c>
      <c r="E103">
        <f>IFERROR(INDEX(Dim_Category[CategoryName],MATCH(INDEX(Dim_Vendor[DefaultCategoryID],MATCH($D103,Dim_Vendor[VendorName],0)),Dim_Category[CategoryID],0)),"")</f>
        <v/>
      </c>
      <c r="H103">
        <f>IF($C103="","",IF(SignConvention="Negative = Expense",IF($C103&lt;0,"Expense","Income"),IF($C103&gt;0,"Expense","Income")))</f>
        <v/>
      </c>
      <c r="I103" s="27">
        <f>IF($C103="","",ABS($C103))</f>
        <v/>
      </c>
    </row>
    <row r="104">
      <c r="A104" s="37" t="n"/>
      <c r="C104" s="27" t="n"/>
      <c r="D104">
        <f>IF($B104="","",IFERROR(INDEX($D$17:$D$103,MATCH($B104,$B$17:$B$103,0)),""))</f>
        <v/>
      </c>
      <c r="E104">
        <f>IFERROR(INDEX(Dim_Category[CategoryName],MATCH(INDEX(Dim_Vendor[DefaultCategoryID],MATCH($D104,Dim_Vendor[VendorName],0)),Dim_Category[CategoryID],0)),"")</f>
        <v/>
      </c>
      <c r="H104">
        <f>IF($C104="","",IF(SignConvention="Negative = Expense",IF($C104&lt;0,"Expense","Income"),IF($C104&gt;0,"Expense","Income")))</f>
        <v/>
      </c>
      <c r="I104" s="27">
        <f>IF($C104="","",ABS($C104))</f>
        <v/>
      </c>
    </row>
    <row r="105">
      <c r="A105" s="37" t="n"/>
      <c r="C105" s="27" t="n"/>
      <c r="D105">
        <f>IF($B105="","",IFERROR(INDEX($D$17:$D$104,MATCH($B105,$B$17:$B$104,0)),""))</f>
        <v/>
      </c>
      <c r="E105">
        <f>IFERROR(INDEX(Dim_Category[CategoryName],MATCH(INDEX(Dim_Vendor[DefaultCategoryID],MATCH($D105,Dim_Vendor[VendorName],0)),Dim_Category[CategoryID],0)),"")</f>
        <v/>
      </c>
      <c r="H105">
        <f>IF($C105="","",IF(SignConvention="Negative = Expense",IF($C105&lt;0,"Expense","Income"),IF($C105&gt;0,"Expense","Income")))</f>
        <v/>
      </c>
      <c r="I105" s="27">
        <f>IF($C105="","",ABS($C105))</f>
        <v/>
      </c>
    </row>
    <row r="106">
      <c r="A106" s="37" t="n"/>
      <c r="C106" s="27" t="n"/>
      <c r="D106">
        <f>IF($B106="","",IFERROR(INDEX($D$17:$D$105,MATCH($B106,$B$17:$B$105,0)),""))</f>
        <v/>
      </c>
      <c r="E106">
        <f>IFERROR(INDEX(Dim_Category[CategoryName],MATCH(INDEX(Dim_Vendor[DefaultCategoryID],MATCH($D106,Dim_Vendor[VendorName],0)),Dim_Category[CategoryID],0)),"")</f>
        <v/>
      </c>
      <c r="H106">
        <f>IF($C106="","",IF(SignConvention="Negative = Expense",IF($C106&lt;0,"Expense","Income"),IF($C106&gt;0,"Expense","Income")))</f>
        <v/>
      </c>
      <c r="I106" s="27">
        <f>IF($C106="","",ABS($C106))</f>
        <v/>
      </c>
    </row>
    <row r="107">
      <c r="A107" s="37" t="n"/>
      <c r="C107" s="27" t="n"/>
      <c r="D107">
        <f>IF($B107="","",IFERROR(INDEX($D$17:$D$106,MATCH($B107,$B$17:$B$106,0)),""))</f>
        <v/>
      </c>
      <c r="E107">
        <f>IFERROR(INDEX(Dim_Category[CategoryName],MATCH(INDEX(Dim_Vendor[DefaultCategoryID],MATCH($D107,Dim_Vendor[VendorName],0)),Dim_Category[CategoryID],0)),"")</f>
        <v/>
      </c>
      <c r="H107">
        <f>IF($C107="","",IF(SignConvention="Negative = Expense",IF($C107&lt;0,"Expense","Income"),IF($C107&gt;0,"Expense","Income")))</f>
        <v/>
      </c>
      <c r="I107" s="27">
        <f>IF($C107="","",ABS($C107))</f>
        <v/>
      </c>
    </row>
    <row r="108">
      <c r="A108" s="37" t="n"/>
      <c r="C108" s="27" t="n"/>
      <c r="D108">
        <f>IF($B108="","",IFERROR(INDEX($D$17:$D$107,MATCH($B108,$B$17:$B$107,0)),""))</f>
        <v/>
      </c>
      <c r="E108">
        <f>IFERROR(INDEX(Dim_Category[CategoryName],MATCH(INDEX(Dim_Vendor[DefaultCategoryID],MATCH($D108,Dim_Vendor[VendorName],0)),Dim_Category[CategoryID],0)),"")</f>
        <v/>
      </c>
      <c r="H108">
        <f>IF($C108="","",IF(SignConvention="Negative = Expense",IF($C108&lt;0,"Expense","Income"),IF($C108&gt;0,"Expense","Income")))</f>
        <v/>
      </c>
      <c r="I108" s="27">
        <f>IF($C108="","",ABS($C108))</f>
        <v/>
      </c>
    </row>
    <row r="109">
      <c r="A109" s="37" t="n"/>
      <c r="C109" s="27" t="n"/>
      <c r="D109">
        <f>IF($B109="","",IFERROR(INDEX($D$17:$D$108,MATCH($B109,$B$17:$B$108,0)),""))</f>
        <v/>
      </c>
      <c r="E109">
        <f>IFERROR(INDEX(Dim_Category[CategoryName],MATCH(INDEX(Dim_Vendor[DefaultCategoryID],MATCH($D109,Dim_Vendor[VendorName],0)),Dim_Category[CategoryID],0)),"")</f>
        <v/>
      </c>
      <c r="H109">
        <f>IF($C109="","",IF(SignConvention="Negative = Expense",IF($C109&lt;0,"Expense","Income"),IF($C109&gt;0,"Expense","Income")))</f>
        <v/>
      </c>
      <c r="I109" s="27">
        <f>IF($C109="","",ABS($C109))</f>
        <v/>
      </c>
    </row>
    <row r="110">
      <c r="A110" s="37" t="n"/>
      <c r="C110" s="27" t="n"/>
      <c r="D110">
        <f>IF($B110="","",IFERROR(INDEX($D$17:$D$109,MATCH($B110,$B$17:$B$109,0)),""))</f>
        <v/>
      </c>
      <c r="E110">
        <f>IFERROR(INDEX(Dim_Category[CategoryName],MATCH(INDEX(Dim_Vendor[DefaultCategoryID],MATCH($D110,Dim_Vendor[VendorName],0)),Dim_Category[CategoryID],0)),"")</f>
        <v/>
      </c>
      <c r="H110">
        <f>IF($C110="","",IF(SignConvention="Negative = Expense",IF($C110&lt;0,"Expense","Income"),IF($C110&gt;0,"Expense","Income")))</f>
        <v/>
      </c>
      <c r="I110" s="27">
        <f>IF($C110="","",ABS($C110))</f>
        <v/>
      </c>
    </row>
    <row r="111">
      <c r="A111" s="37" t="n"/>
      <c r="C111" s="27" t="n"/>
      <c r="D111">
        <f>IF($B111="","",IFERROR(INDEX($D$17:$D$110,MATCH($B111,$B$17:$B$110,0)),""))</f>
        <v/>
      </c>
      <c r="E111">
        <f>IFERROR(INDEX(Dim_Category[CategoryName],MATCH(INDEX(Dim_Vendor[DefaultCategoryID],MATCH($D111,Dim_Vendor[VendorName],0)),Dim_Category[CategoryID],0)),"")</f>
        <v/>
      </c>
      <c r="H111">
        <f>IF($C111="","",IF(SignConvention="Negative = Expense",IF($C111&lt;0,"Expense","Income"),IF($C111&gt;0,"Expense","Income")))</f>
        <v/>
      </c>
      <c r="I111" s="27">
        <f>IF($C111="","",ABS($C111))</f>
        <v/>
      </c>
    </row>
    <row r="112">
      <c r="A112" s="37" t="n"/>
      <c r="C112" s="27" t="n"/>
      <c r="D112">
        <f>IF($B112="","",IFERROR(INDEX($D$17:$D$111,MATCH($B112,$B$17:$B$111,0)),""))</f>
        <v/>
      </c>
      <c r="E112">
        <f>IFERROR(INDEX(Dim_Category[CategoryName],MATCH(INDEX(Dim_Vendor[DefaultCategoryID],MATCH($D112,Dim_Vendor[VendorName],0)),Dim_Category[CategoryID],0)),"")</f>
        <v/>
      </c>
      <c r="H112">
        <f>IF($C112="","",IF(SignConvention="Negative = Expense",IF($C112&lt;0,"Expense","Income"),IF($C112&gt;0,"Expense","Income")))</f>
        <v/>
      </c>
      <c r="I112" s="27">
        <f>IF($C112="","",ABS($C112))</f>
        <v/>
      </c>
    </row>
    <row r="113">
      <c r="A113" s="37" t="n"/>
      <c r="C113" s="27" t="n"/>
      <c r="D113">
        <f>IF($B113="","",IFERROR(INDEX($D$17:$D$112,MATCH($B113,$B$17:$B$112,0)),""))</f>
        <v/>
      </c>
      <c r="E113">
        <f>IFERROR(INDEX(Dim_Category[CategoryName],MATCH(INDEX(Dim_Vendor[DefaultCategoryID],MATCH($D113,Dim_Vendor[VendorName],0)),Dim_Category[CategoryID],0)),"")</f>
        <v/>
      </c>
      <c r="H113">
        <f>IF($C113="","",IF(SignConvention="Negative = Expense",IF($C113&lt;0,"Expense","Income"),IF($C113&gt;0,"Expense","Income")))</f>
        <v/>
      </c>
      <c r="I113" s="27">
        <f>IF($C113="","",ABS($C113))</f>
        <v/>
      </c>
    </row>
    <row r="114">
      <c r="A114" s="37" t="n"/>
      <c r="C114" s="27" t="n"/>
      <c r="D114">
        <f>IF($B114="","",IFERROR(INDEX($D$17:$D$113,MATCH($B114,$B$17:$B$113,0)),""))</f>
        <v/>
      </c>
      <c r="E114">
        <f>IFERROR(INDEX(Dim_Category[CategoryName],MATCH(INDEX(Dim_Vendor[DefaultCategoryID],MATCH($D114,Dim_Vendor[VendorName],0)),Dim_Category[CategoryID],0)),"")</f>
        <v/>
      </c>
      <c r="H114">
        <f>IF($C114="","",IF(SignConvention="Negative = Expense",IF($C114&lt;0,"Expense","Income"),IF($C114&gt;0,"Expense","Income")))</f>
        <v/>
      </c>
      <c r="I114" s="27">
        <f>IF($C114="","",ABS($C114))</f>
        <v/>
      </c>
    </row>
    <row r="115">
      <c r="A115" s="37" t="n"/>
      <c r="C115" s="27" t="n"/>
      <c r="D115">
        <f>IF($B115="","",IFERROR(INDEX($D$17:$D$114,MATCH($B115,$B$17:$B$114,0)),""))</f>
        <v/>
      </c>
      <c r="E115">
        <f>IFERROR(INDEX(Dim_Category[CategoryName],MATCH(INDEX(Dim_Vendor[DefaultCategoryID],MATCH($D115,Dim_Vendor[VendorName],0)),Dim_Category[CategoryID],0)),"")</f>
        <v/>
      </c>
      <c r="H115">
        <f>IF($C115="","",IF(SignConvention="Negative = Expense",IF($C115&lt;0,"Expense","Income"),IF($C115&gt;0,"Expense","Income")))</f>
        <v/>
      </c>
      <c r="I115" s="27">
        <f>IF($C115="","",ABS($C115))</f>
        <v/>
      </c>
    </row>
    <row r="116">
      <c r="A116" s="37" t="n"/>
      <c r="C116" s="27" t="n"/>
      <c r="D116">
        <f>IF($B116="","",IFERROR(INDEX($D$17:$D$115,MATCH($B116,$B$17:$B$115,0)),""))</f>
        <v/>
      </c>
      <c r="E116">
        <f>IFERROR(INDEX(Dim_Category[CategoryName],MATCH(INDEX(Dim_Vendor[DefaultCategoryID],MATCH($D116,Dim_Vendor[VendorName],0)),Dim_Category[CategoryID],0)),"")</f>
        <v/>
      </c>
      <c r="H116">
        <f>IF($C116="","",IF(SignConvention="Negative = Expense",IF($C116&lt;0,"Expense","Income"),IF($C116&gt;0,"Expense","Income")))</f>
        <v/>
      </c>
      <c r="I116" s="27">
        <f>IF($C116="","",ABS($C116))</f>
        <v/>
      </c>
    </row>
    <row r="117">
      <c r="A117" s="37" t="n"/>
      <c r="C117" s="27" t="n"/>
      <c r="D117">
        <f>IF($B117="","",IFERROR(INDEX($D$17:$D$116,MATCH($B117,$B$17:$B$116,0)),""))</f>
        <v/>
      </c>
      <c r="E117">
        <f>IFERROR(INDEX(Dim_Category[CategoryName],MATCH(INDEX(Dim_Vendor[DefaultCategoryID],MATCH($D117,Dim_Vendor[VendorName],0)),Dim_Category[CategoryID],0)),"")</f>
        <v/>
      </c>
      <c r="H117">
        <f>IF($C117="","",IF(SignConvention="Negative = Expense",IF($C117&lt;0,"Expense","Income"),IF($C117&gt;0,"Expense","Income")))</f>
        <v/>
      </c>
      <c r="I117" s="27">
        <f>IF($C117="","",ABS($C117))</f>
        <v/>
      </c>
    </row>
    <row r="118">
      <c r="A118" s="37" t="n"/>
      <c r="C118" s="27" t="n"/>
      <c r="D118">
        <f>IF($B118="","",IFERROR(INDEX($D$17:$D$117,MATCH($B118,$B$17:$B$117,0)),""))</f>
        <v/>
      </c>
      <c r="E118">
        <f>IFERROR(INDEX(Dim_Category[CategoryName],MATCH(INDEX(Dim_Vendor[DefaultCategoryID],MATCH($D118,Dim_Vendor[VendorName],0)),Dim_Category[CategoryID],0)),"")</f>
        <v/>
      </c>
      <c r="H118">
        <f>IF($C118="","",IF(SignConvention="Negative = Expense",IF($C118&lt;0,"Expense","Income"),IF($C118&gt;0,"Expense","Income")))</f>
        <v/>
      </c>
      <c r="I118" s="27">
        <f>IF($C118="","",ABS($C118))</f>
        <v/>
      </c>
    </row>
    <row r="119">
      <c r="A119" s="37" t="n"/>
      <c r="C119" s="27" t="n"/>
      <c r="D119">
        <f>IF($B119="","",IFERROR(INDEX($D$17:$D$118,MATCH($B119,$B$17:$B$118,0)),""))</f>
        <v/>
      </c>
      <c r="E119">
        <f>IFERROR(INDEX(Dim_Category[CategoryName],MATCH(INDEX(Dim_Vendor[DefaultCategoryID],MATCH($D119,Dim_Vendor[VendorName],0)),Dim_Category[CategoryID],0)),"")</f>
        <v/>
      </c>
      <c r="H119">
        <f>IF($C119="","",IF(SignConvention="Negative = Expense",IF($C119&lt;0,"Expense","Income"),IF($C119&gt;0,"Expense","Income")))</f>
        <v/>
      </c>
      <c r="I119" s="27">
        <f>IF($C119="","",ABS($C119))</f>
        <v/>
      </c>
    </row>
    <row r="120">
      <c r="A120" s="37" t="n"/>
      <c r="C120" s="27" t="n"/>
      <c r="D120">
        <f>IF($B120="","",IFERROR(INDEX($D$17:$D$119,MATCH($B120,$B$17:$B$119,0)),""))</f>
        <v/>
      </c>
      <c r="E120">
        <f>IFERROR(INDEX(Dim_Category[CategoryName],MATCH(INDEX(Dim_Vendor[DefaultCategoryID],MATCH($D120,Dim_Vendor[VendorName],0)),Dim_Category[CategoryID],0)),"")</f>
        <v/>
      </c>
      <c r="H120">
        <f>IF($C120="","",IF(SignConvention="Negative = Expense",IF($C120&lt;0,"Expense","Income"),IF($C120&gt;0,"Expense","Income")))</f>
        <v/>
      </c>
      <c r="I120" s="27">
        <f>IF($C120="","",ABS($C120))</f>
        <v/>
      </c>
    </row>
    <row r="121">
      <c r="A121" s="37" t="n"/>
      <c r="C121" s="27" t="n"/>
      <c r="D121">
        <f>IF($B121="","",IFERROR(INDEX($D$17:$D$120,MATCH($B121,$B$17:$B$120,0)),""))</f>
        <v/>
      </c>
      <c r="E121">
        <f>IFERROR(INDEX(Dim_Category[CategoryName],MATCH(INDEX(Dim_Vendor[DefaultCategoryID],MATCH($D121,Dim_Vendor[VendorName],0)),Dim_Category[CategoryID],0)),"")</f>
        <v/>
      </c>
      <c r="H121">
        <f>IF($C121="","",IF(SignConvention="Negative = Expense",IF($C121&lt;0,"Expense","Income"),IF($C121&gt;0,"Expense","Income")))</f>
        <v/>
      </c>
      <c r="I121" s="27">
        <f>IF($C121="","",ABS($C121))</f>
        <v/>
      </c>
    </row>
    <row r="122">
      <c r="A122" s="37" t="n"/>
      <c r="C122" s="27" t="n"/>
      <c r="D122">
        <f>IF($B122="","",IFERROR(INDEX($D$17:$D$121,MATCH($B122,$B$17:$B$121,0)),""))</f>
        <v/>
      </c>
      <c r="E122">
        <f>IFERROR(INDEX(Dim_Category[CategoryName],MATCH(INDEX(Dim_Vendor[DefaultCategoryID],MATCH($D122,Dim_Vendor[VendorName],0)),Dim_Category[CategoryID],0)),"")</f>
        <v/>
      </c>
      <c r="H122">
        <f>IF($C122="","",IF(SignConvention="Negative = Expense",IF($C122&lt;0,"Expense","Income"),IF($C122&gt;0,"Expense","Income")))</f>
        <v/>
      </c>
      <c r="I122" s="27">
        <f>IF($C122="","",ABS($C122))</f>
        <v/>
      </c>
    </row>
    <row r="123">
      <c r="A123" s="37" t="n"/>
      <c r="C123" s="27" t="n"/>
      <c r="D123">
        <f>IF($B123="","",IFERROR(INDEX($D$17:$D$122,MATCH($B123,$B$17:$B$122,0)),""))</f>
        <v/>
      </c>
      <c r="E123">
        <f>IFERROR(INDEX(Dim_Category[CategoryName],MATCH(INDEX(Dim_Vendor[DefaultCategoryID],MATCH($D123,Dim_Vendor[VendorName],0)),Dim_Category[CategoryID],0)),"")</f>
        <v/>
      </c>
      <c r="H123">
        <f>IF($C123="","",IF(SignConvention="Negative = Expense",IF($C123&lt;0,"Expense","Income"),IF($C123&gt;0,"Expense","Income")))</f>
        <v/>
      </c>
      <c r="I123" s="27">
        <f>IF($C123="","",ABS($C123))</f>
        <v/>
      </c>
    </row>
    <row r="124">
      <c r="A124" s="37" t="n"/>
      <c r="C124" s="27" t="n"/>
      <c r="D124">
        <f>IF($B124="","",IFERROR(INDEX($D$17:$D$123,MATCH($B124,$B$17:$B$123,0)),""))</f>
        <v/>
      </c>
      <c r="E124">
        <f>IFERROR(INDEX(Dim_Category[CategoryName],MATCH(INDEX(Dim_Vendor[DefaultCategoryID],MATCH($D124,Dim_Vendor[VendorName],0)),Dim_Category[CategoryID],0)),"")</f>
        <v/>
      </c>
      <c r="H124">
        <f>IF($C124="","",IF(SignConvention="Negative = Expense",IF($C124&lt;0,"Expense","Income"),IF($C124&gt;0,"Expense","Income")))</f>
        <v/>
      </c>
      <c r="I124" s="27">
        <f>IF($C124="","",ABS($C124))</f>
        <v/>
      </c>
    </row>
    <row r="125">
      <c r="A125" s="37" t="n"/>
      <c r="C125" s="27" t="n"/>
      <c r="D125">
        <f>IF($B125="","",IFERROR(INDEX($D$17:$D$124,MATCH($B125,$B$17:$B$124,0)),""))</f>
        <v/>
      </c>
      <c r="E125">
        <f>IFERROR(INDEX(Dim_Category[CategoryName],MATCH(INDEX(Dim_Vendor[DefaultCategoryID],MATCH($D125,Dim_Vendor[VendorName],0)),Dim_Category[CategoryID],0)),"")</f>
        <v/>
      </c>
      <c r="H125">
        <f>IF($C125="","",IF(SignConvention="Negative = Expense",IF($C125&lt;0,"Expense","Income"),IF($C125&gt;0,"Expense","Income")))</f>
        <v/>
      </c>
      <c r="I125" s="27">
        <f>IF($C125="","",ABS($C125))</f>
        <v/>
      </c>
    </row>
    <row r="126">
      <c r="A126" s="37" t="n"/>
      <c r="C126" s="27" t="n"/>
      <c r="D126">
        <f>IF($B126="","",IFERROR(INDEX($D$17:$D$125,MATCH($B126,$B$17:$B$125,0)),""))</f>
        <v/>
      </c>
      <c r="E126">
        <f>IFERROR(INDEX(Dim_Category[CategoryName],MATCH(INDEX(Dim_Vendor[DefaultCategoryID],MATCH($D126,Dim_Vendor[VendorName],0)),Dim_Category[CategoryID],0)),"")</f>
        <v/>
      </c>
      <c r="H126">
        <f>IF($C126="","",IF(SignConvention="Negative = Expense",IF($C126&lt;0,"Expense","Income"),IF($C126&gt;0,"Expense","Income")))</f>
        <v/>
      </c>
      <c r="I126" s="27">
        <f>IF($C126="","",ABS($C126))</f>
        <v/>
      </c>
    </row>
    <row r="127">
      <c r="A127" s="37" t="n"/>
      <c r="C127" s="27" t="n"/>
      <c r="D127">
        <f>IF($B127="","",IFERROR(INDEX($D$17:$D$126,MATCH($B127,$B$17:$B$126,0)),""))</f>
        <v/>
      </c>
      <c r="E127">
        <f>IFERROR(INDEX(Dim_Category[CategoryName],MATCH(INDEX(Dim_Vendor[DefaultCategoryID],MATCH($D127,Dim_Vendor[VendorName],0)),Dim_Category[CategoryID],0)),"")</f>
        <v/>
      </c>
      <c r="H127">
        <f>IF($C127="","",IF(SignConvention="Negative = Expense",IF($C127&lt;0,"Expense","Income"),IF($C127&gt;0,"Expense","Income")))</f>
        <v/>
      </c>
      <c r="I127" s="27">
        <f>IF($C127="","",ABS($C127))</f>
        <v/>
      </c>
    </row>
    <row r="128">
      <c r="A128" s="37" t="n"/>
      <c r="C128" s="27" t="n"/>
      <c r="D128">
        <f>IF($B128="","",IFERROR(INDEX($D$17:$D$127,MATCH($B128,$B$17:$B$127,0)),""))</f>
        <v/>
      </c>
      <c r="E128">
        <f>IFERROR(INDEX(Dim_Category[CategoryName],MATCH(INDEX(Dim_Vendor[DefaultCategoryID],MATCH($D128,Dim_Vendor[VendorName],0)),Dim_Category[CategoryID],0)),"")</f>
        <v/>
      </c>
      <c r="H128">
        <f>IF($C128="","",IF(SignConvention="Negative = Expense",IF($C128&lt;0,"Expense","Income"),IF($C128&gt;0,"Expense","Income")))</f>
        <v/>
      </c>
      <c r="I128" s="27">
        <f>IF($C128="","",ABS($C128))</f>
        <v/>
      </c>
    </row>
    <row r="129">
      <c r="A129" s="37" t="n"/>
      <c r="C129" s="27" t="n"/>
      <c r="D129">
        <f>IF($B129="","",IFERROR(INDEX($D$17:$D$128,MATCH($B129,$B$17:$B$128,0)),""))</f>
        <v/>
      </c>
      <c r="E129">
        <f>IFERROR(INDEX(Dim_Category[CategoryName],MATCH(INDEX(Dim_Vendor[DefaultCategoryID],MATCH($D129,Dim_Vendor[VendorName],0)),Dim_Category[CategoryID],0)),"")</f>
        <v/>
      </c>
      <c r="H129">
        <f>IF($C129="","",IF(SignConvention="Negative = Expense",IF($C129&lt;0,"Expense","Income"),IF($C129&gt;0,"Expense","Income")))</f>
        <v/>
      </c>
      <c r="I129" s="27">
        <f>IF($C129="","",ABS($C129))</f>
        <v/>
      </c>
    </row>
    <row r="130">
      <c r="A130" s="37" t="n"/>
      <c r="C130" s="27" t="n"/>
      <c r="D130">
        <f>IF($B130="","",IFERROR(INDEX($D$17:$D$129,MATCH($B130,$B$17:$B$129,0)),""))</f>
        <v/>
      </c>
      <c r="E130">
        <f>IFERROR(INDEX(Dim_Category[CategoryName],MATCH(INDEX(Dim_Vendor[DefaultCategoryID],MATCH($D130,Dim_Vendor[VendorName],0)),Dim_Category[CategoryID],0)),"")</f>
        <v/>
      </c>
      <c r="H130">
        <f>IF($C130="","",IF(SignConvention="Negative = Expense",IF($C130&lt;0,"Expense","Income"),IF($C130&gt;0,"Expense","Income")))</f>
        <v/>
      </c>
      <c r="I130" s="27">
        <f>IF($C130="","",ABS($C130))</f>
        <v/>
      </c>
    </row>
    <row r="131">
      <c r="A131" s="37" t="n"/>
      <c r="C131" s="27" t="n"/>
      <c r="D131">
        <f>IF($B131="","",IFERROR(INDEX($D$17:$D$130,MATCH($B131,$B$17:$B$130,0)),""))</f>
        <v/>
      </c>
      <c r="E131">
        <f>IFERROR(INDEX(Dim_Category[CategoryName],MATCH(INDEX(Dim_Vendor[DefaultCategoryID],MATCH($D131,Dim_Vendor[VendorName],0)),Dim_Category[CategoryID],0)),"")</f>
        <v/>
      </c>
      <c r="H131">
        <f>IF($C131="","",IF(SignConvention="Negative = Expense",IF($C131&lt;0,"Expense","Income"),IF($C131&gt;0,"Expense","Income")))</f>
        <v/>
      </c>
      <c r="I131" s="27">
        <f>IF($C131="","",ABS($C131))</f>
        <v/>
      </c>
    </row>
    <row r="132">
      <c r="A132" s="37" t="n"/>
      <c r="C132" s="27" t="n"/>
      <c r="D132">
        <f>IF($B132="","",IFERROR(INDEX($D$17:$D$131,MATCH($B132,$B$17:$B$131,0)),""))</f>
        <v/>
      </c>
      <c r="E132">
        <f>IFERROR(INDEX(Dim_Category[CategoryName],MATCH(INDEX(Dim_Vendor[DefaultCategoryID],MATCH($D132,Dim_Vendor[VendorName],0)),Dim_Category[CategoryID],0)),"")</f>
        <v/>
      </c>
      <c r="H132">
        <f>IF($C132="","",IF(SignConvention="Negative = Expense",IF($C132&lt;0,"Expense","Income"),IF($C132&gt;0,"Expense","Income")))</f>
        <v/>
      </c>
      <c r="I132" s="27">
        <f>IF($C132="","",ABS($C132))</f>
        <v/>
      </c>
    </row>
    <row r="133">
      <c r="A133" s="37" t="n"/>
      <c r="C133" s="27" t="n"/>
      <c r="D133">
        <f>IF($B133="","",IFERROR(INDEX($D$17:$D$132,MATCH($B133,$B$17:$B$132,0)),""))</f>
        <v/>
      </c>
      <c r="E133">
        <f>IFERROR(INDEX(Dim_Category[CategoryName],MATCH(INDEX(Dim_Vendor[DefaultCategoryID],MATCH($D133,Dim_Vendor[VendorName],0)),Dim_Category[CategoryID],0)),"")</f>
        <v/>
      </c>
      <c r="H133">
        <f>IF($C133="","",IF(SignConvention="Negative = Expense",IF($C133&lt;0,"Expense","Income"),IF($C133&gt;0,"Expense","Income")))</f>
        <v/>
      </c>
      <c r="I133" s="27">
        <f>IF($C133="","",ABS($C133))</f>
        <v/>
      </c>
    </row>
    <row r="134">
      <c r="A134" s="37" t="n"/>
      <c r="C134" s="27" t="n"/>
      <c r="D134">
        <f>IF($B134="","",IFERROR(INDEX($D$17:$D$133,MATCH($B134,$B$17:$B$133,0)),""))</f>
        <v/>
      </c>
      <c r="E134">
        <f>IFERROR(INDEX(Dim_Category[CategoryName],MATCH(INDEX(Dim_Vendor[DefaultCategoryID],MATCH($D134,Dim_Vendor[VendorName],0)),Dim_Category[CategoryID],0)),"")</f>
        <v/>
      </c>
      <c r="H134">
        <f>IF($C134="","",IF(SignConvention="Negative = Expense",IF($C134&lt;0,"Expense","Income"),IF($C134&gt;0,"Expense","Income")))</f>
        <v/>
      </c>
      <c r="I134" s="27">
        <f>IF($C134="","",ABS($C134))</f>
        <v/>
      </c>
    </row>
    <row r="135">
      <c r="A135" s="37" t="n"/>
      <c r="C135" s="27" t="n"/>
      <c r="D135">
        <f>IF($B135="","",IFERROR(INDEX($D$17:$D$134,MATCH($B135,$B$17:$B$134,0)),""))</f>
        <v/>
      </c>
      <c r="E135">
        <f>IFERROR(INDEX(Dim_Category[CategoryName],MATCH(INDEX(Dim_Vendor[DefaultCategoryID],MATCH($D135,Dim_Vendor[VendorName],0)),Dim_Category[CategoryID],0)),"")</f>
        <v/>
      </c>
      <c r="H135">
        <f>IF($C135="","",IF(SignConvention="Negative = Expense",IF($C135&lt;0,"Expense","Income"),IF($C135&gt;0,"Expense","Income")))</f>
        <v/>
      </c>
      <c r="I135" s="27">
        <f>IF($C135="","",ABS($C135))</f>
        <v/>
      </c>
    </row>
    <row r="136">
      <c r="A136" s="37" t="n"/>
      <c r="C136" s="27" t="n"/>
      <c r="D136">
        <f>IF($B136="","",IFERROR(INDEX($D$17:$D$135,MATCH($B136,$B$17:$B$135,0)),""))</f>
        <v/>
      </c>
      <c r="E136">
        <f>IFERROR(INDEX(Dim_Category[CategoryName],MATCH(INDEX(Dim_Vendor[DefaultCategoryID],MATCH($D136,Dim_Vendor[VendorName],0)),Dim_Category[CategoryID],0)),"")</f>
        <v/>
      </c>
      <c r="H136">
        <f>IF($C136="","",IF(SignConvention="Negative = Expense",IF($C136&lt;0,"Expense","Income"),IF($C136&gt;0,"Expense","Income")))</f>
        <v/>
      </c>
      <c r="I136" s="27">
        <f>IF($C136="","",ABS($C136))</f>
        <v/>
      </c>
    </row>
    <row r="137">
      <c r="A137" s="37" t="n"/>
      <c r="C137" s="27" t="n"/>
      <c r="D137">
        <f>IF($B137="","",IFERROR(INDEX($D$17:$D$136,MATCH($B137,$B$17:$B$136,0)),""))</f>
        <v/>
      </c>
      <c r="E137">
        <f>IFERROR(INDEX(Dim_Category[CategoryName],MATCH(INDEX(Dim_Vendor[DefaultCategoryID],MATCH($D137,Dim_Vendor[VendorName],0)),Dim_Category[CategoryID],0)),"")</f>
        <v/>
      </c>
      <c r="H137">
        <f>IF($C137="","",IF(SignConvention="Negative = Expense",IF($C137&lt;0,"Expense","Income"),IF($C137&gt;0,"Expense","Income")))</f>
        <v/>
      </c>
      <c r="I137" s="27">
        <f>IF($C137="","",ABS($C137))</f>
        <v/>
      </c>
    </row>
    <row r="138">
      <c r="A138" s="37" t="n"/>
      <c r="C138" s="27" t="n"/>
      <c r="D138">
        <f>IF($B138="","",IFERROR(INDEX($D$17:$D$137,MATCH($B138,$B$17:$B$137,0)),""))</f>
        <v/>
      </c>
      <c r="E138">
        <f>IFERROR(INDEX(Dim_Category[CategoryName],MATCH(INDEX(Dim_Vendor[DefaultCategoryID],MATCH($D138,Dim_Vendor[VendorName],0)),Dim_Category[CategoryID],0)),"")</f>
        <v/>
      </c>
      <c r="H138">
        <f>IF($C138="","",IF(SignConvention="Negative = Expense",IF($C138&lt;0,"Expense","Income"),IF($C138&gt;0,"Expense","Income")))</f>
        <v/>
      </c>
      <c r="I138" s="27">
        <f>IF($C138="","",ABS($C138))</f>
        <v/>
      </c>
    </row>
    <row r="139">
      <c r="A139" s="37" t="n"/>
      <c r="C139" s="27" t="n"/>
      <c r="D139">
        <f>IF($B139="","",IFERROR(INDEX($D$17:$D$138,MATCH($B139,$B$17:$B$138,0)),""))</f>
        <v/>
      </c>
      <c r="E139">
        <f>IFERROR(INDEX(Dim_Category[CategoryName],MATCH(INDEX(Dim_Vendor[DefaultCategoryID],MATCH($D139,Dim_Vendor[VendorName],0)),Dim_Category[CategoryID],0)),"")</f>
        <v/>
      </c>
      <c r="H139">
        <f>IF($C139="","",IF(SignConvention="Negative = Expense",IF($C139&lt;0,"Expense","Income"),IF($C139&gt;0,"Expense","Income")))</f>
        <v/>
      </c>
      <c r="I139" s="27">
        <f>IF($C139="","",ABS($C139))</f>
        <v/>
      </c>
    </row>
    <row r="140">
      <c r="A140" s="37" t="n"/>
      <c r="C140" s="27" t="n"/>
      <c r="D140">
        <f>IF($B140="","",IFERROR(INDEX($D$17:$D$139,MATCH($B140,$B$17:$B$139,0)),""))</f>
        <v/>
      </c>
      <c r="E140">
        <f>IFERROR(INDEX(Dim_Category[CategoryName],MATCH(INDEX(Dim_Vendor[DefaultCategoryID],MATCH($D140,Dim_Vendor[VendorName],0)),Dim_Category[CategoryID],0)),"")</f>
        <v/>
      </c>
      <c r="H140">
        <f>IF($C140="","",IF(SignConvention="Negative = Expense",IF($C140&lt;0,"Expense","Income"),IF($C140&gt;0,"Expense","Income")))</f>
        <v/>
      </c>
      <c r="I140" s="27">
        <f>IF($C140="","",ABS($C140))</f>
        <v/>
      </c>
    </row>
    <row r="141">
      <c r="A141" s="37" t="n"/>
      <c r="C141" s="27" t="n"/>
      <c r="D141">
        <f>IF($B141="","",IFERROR(INDEX($D$17:$D$140,MATCH($B141,$B$17:$B$140,0)),""))</f>
        <v/>
      </c>
      <c r="E141">
        <f>IFERROR(INDEX(Dim_Category[CategoryName],MATCH(INDEX(Dim_Vendor[DefaultCategoryID],MATCH($D141,Dim_Vendor[VendorName],0)),Dim_Category[CategoryID],0)),"")</f>
        <v/>
      </c>
      <c r="H141">
        <f>IF($C141="","",IF(SignConvention="Negative = Expense",IF($C141&lt;0,"Expense","Income"),IF($C141&gt;0,"Expense","Income")))</f>
        <v/>
      </c>
      <c r="I141" s="27">
        <f>IF($C141="","",ABS($C141))</f>
        <v/>
      </c>
    </row>
    <row r="142">
      <c r="A142" s="37" t="n"/>
      <c r="C142" s="27" t="n"/>
      <c r="D142">
        <f>IF($B142="","",IFERROR(INDEX($D$17:$D$141,MATCH($B142,$B$17:$B$141,0)),""))</f>
        <v/>
      </c>
      <c r="E142">
        <f>IFERROR(INDEX(Dim_Category[CategoryName],MATCH(INDEX(Dim_Vendor[DefaultCategoryID],MATCH($D142,Dim_Vendor[VendorName],0)),Dim_Category[CategoryID],0)),"")</f>
        <v/>
      </c>
      <c r="H142">
        <f>IF($C142="","",IF(SignConvention="Negative = Expense",IF($C142&lt;0,"Expense","Income"),IF($C142&gt;0,"Expense","Income")))</f>
        <v/>
      </c>
      <c r="I142" s="27">
        <f>IF($C142="","",ABS($C142))</f>
        <v/>
      </c>
    </row>
    <row r="143">
      <c r="A143" s="37" t="n"/>
      <c r="C143" s="27" t="n"/>
      <c r="D143">
        <f>IF($B143="","",IFERROR(INDEX($D$17:$D$142,MATCH($B143,$B$17:$B$142,0)),""))</f>
        <v/>
      </c>
      <c r="E143">
        <f>IFERROR(INDEX(Dim_Category[CategoryName],MATCH(INDEX(Dim_Vendor[DefaultCategoryID],MATCH($D143,Dim_Vendor[VendorName],0)),Dim_Category[CategoryID],0)),"")</f>
        <v/>
      </c>
      <c r="H143">
        <f>IF($C143="","",IF(SignConvention="Negative = Expense",IF($C143&lt;0,"Expense","Income"),IF($C143&gt;0,"Expense","Income")))</f>
        <v/>
      </c>
      <c r="I143" s="27">
        <f>IF($C143="","",ABS($C143))</f>
        <v/>
      </c>
    </row>
    <row r="144">
      <c r="A144" s="37" t="n"/>
      <c r="C144" s="27" t="n"/>
      <c r="D144">
        <f>IF($B144="","",IFERROR(INDEX($D$17:$D$143,MATCH($B144,$B$17:$B$143,0)),""))</f>
        <v/>
      </c>
      <c r="E144">
        <f>IFERROR(INDEX(Dim_Category[CategoryName],MATCH(INDEX(Dim_Vendor[DefaultCategoryID],MATCH($D144,Dim_Vendor[VendorName],0)),Dim_Category[CategoryID],0)),"")</f>
        <v/>
      </c>
      <c r="H144">
        <f>IF($C144="","",IF(SignConvention="Negative = Expense",IF($C144&lt;0,"Expense","Income"),IF($C144&gt;0,"Expense","Income")))</f>
        <v/>
      </c>
      <c r="I144" s="27">
        <f>IF($C144="","",ABS($C144))</f>
        <v/>
      </c>
    </row>
    <row r="145">
      <c r="A145" s="37" t="n"/>
      <c r="C145" s="27" t="n"/>
      <c r="D145">
        <f>IF($B145="","",IFERROR(INDEX($D$17:$D$144,MATCH($B145,$B$17:$B$144,0)),""))</f>
        <v/>
      </c>
      <c r="E145">
        <f>IFERROR(INDEX(Dim_Category[CategoryName],MATCH(INDEX(Dim_Vendor[DefaultCategoryID],MATCH($D145,Dim_Vendor[VendorName],0)),Dim_Category[CategoryID],0)),"")</f>
        <v/>
      </c>
      <c r="H145">
        <f>IF($C145="","",IF(SignConvention="Negative = Expense",IF($C145&lt;0,"Expense","Income"),IF($C145&gt;0,"Expense","Income")))</f>
        <v/>
      </c>
      <c r="I145" s="27">
        <f>IF($C145="","",ABS($C145))</f>
        <v/>
      </c>
    </row>
    <row r="146">
      <c r="A146" s="37" t="n"/>
      <c r="C146" s="27" t="n"/>
      <c r="D146">
        <f>IF($B146="","",IFERROR(INDEX($D$17:$D$145,MATCH($B146,$B$17:$B$145,0)),""))</f>
        <v/>
      </c>
      <c r="E146">
        <f>IFERROR(INDEX(Dim_Category[CategoryName],MATCH(INDEX(Dim_Vendor[DefaultCategoryID],MATCH($D146,Dim_Vendor[VendorName],0)),Dim_Category[CategoryID],0)),"")</f>
        <v/>
      </c>
      <c r="H146">
        <f>IF($C146="","",IF(SignConvention="Negative = Expense",IF($C146&lt;0,"Expense","Income"),IF($C146&gt;0,"Expense","Income")))</f>
        <v/>
      </c>
      <c r="I146" s="27">
        <f>IF($C146="","",ABS($C146))</f>
        <v/>
      </c>
    </row>
    <row r="147">
      <c r="A147" s="37" t="n"/>
      <c r="C147" s="27" t="n"/>
      <c r="D147">
        <f>IF($B147="","",IFERROR(INDEX($D$17:$D$146,MATCH($B147,$B$17:$B$146,0)),""))</f>
        <v/>
      </c>
      <c r="E147">
        <f>IFERROR(INDEX(Dim_Category[CategoryName],MATCH(INDEX(Dim_Vendor[DefaultCategoryID],MATCH($D147,Dim_Vendor[VendorName],0)),Dim_Category[CategoryID],0)),"")</f>
        <v/>
      </c>
      <c r="H147">
        <f>IF($C147="","",IF(SignConvention="Negative = Expense",IF($C147&lt;0,"Expense","Income"),IF($C147&gt;0,"Expense","Income")))</f>
        <v/>
      </c>
      <c r="I147" s="27">
        <f>IF($C147="","",ABS($C147))</f>
        <v/>
      </c>
    </row>
    <row r="148">
      <c r="A148" s="37" t="n"/>
      <c r="C148" s="27" t="n"/>
      <c r="D148">
        <f>IF($B148="","",IFERROR(INDEX($D$17:$D$147,MATCH($B148,$B$17:$B$147,0)),""))</f>
        <v/>
      </c>
      <c r="E148">
        <f>IFERROR(INDEX(Dim_Category[CategoryName],MATCH(INDEX(Dim_Vendor[DefaultCategoryID],MATCH($D148,Dim_Vendor[VendorName],0)),Dim_Category[CategoryID],0)),"")</f>
        <v/>
      </c>
      <c r="H148">
        <f>IF($C148="","",IF(SignConvention="Negative = Expense",IF($C148&lt;0,"Expense","Income"),IF($C148&gt;0,"Expense","Income")))</f>
        <v/>
      </c>
      <c r="I148" s="27">
        <f>IF($C148="","",ABS($C148))</f>
        <v/>
      </c>
    </row>
    <row r="149">
      <c r="A149" s="37" t="n"/>
      <c r="C149" s="27" t="n"/>
      <c r="D149">
        <f>IF($B149="","",IFERROR(INDEX($D$17:$D$148,MATCH($B149,$B$17:$B$148,0)),""))</f>
        <v/>
      </c>
      <c r="E149">
        <f>IFERROR(INDEX(Dim_Category[CategoryName],MATCH(INDEX(Dim_Vendor[DefaultCategoryID],MATCH($D149,Dim_Vendor[VendorName],0)),Dim_Category[CategoryID],0)),"")</f>
        <v/>
      </c>
      <c r="H149">
        <f>IF($C149="","",IF(SignConvention="Negative = Expense",IF($C149&lt;0,"Expense","Income"),IF($C149&gt;0,"Expense","Income")))</f>
        <v/>
      </c>
      <c r="I149" s="27">
        <f>IF($C149="","",ABS($C149))</f>
        <v/>
      </c>
    </row>
    <row r="150">
      <c r="A150" s="37" t="n"/>
      <c r="C150" s="27" t="n"/>
      <c r="D150">
        <f>IF($B150="","",IFERROR(INDEX($D$17:$D$149,MATCH($B150,$B$17:$B$149,0)),""))</f>
        <v/>
      </c>
      <c r="E150">
        <f>IFERROR(INDEX(Dim_Category[CategoryName],MATCH(INDEX(Dim_Vendor[DefaultCategoryID],MATCH($D150,Dim_Vendor[VendorName],0)),Dim_Category[CategoryID],0)),"")</f>
        <v/>
      </c>
      <c r="H150">
        <f>IF($C150="","",IF(SignConvention="Negative = Expense",IF($C150&lt;0,"Expense","Income"),IF($C150&gt;0,"Expense","Income")))</f>
        <v/>
      </c>
      <c r="I150" s="27">
        <f>IF($C150="","",ABS($C150))</f>
        <v/>
      </c>
    </row>
    <row r="151">
      <c r="A151" s="37" t="n"/>
      <c r="C151" s="27" t="n"/>
      <c r="D151">
        <f>IF($B151="","",IFERROR(INDEX($D$17:$D$150,MATCH($B151,$B$17:$B$150,0)),""))</f>
        <v/>
      </c>
      <c r="E151">
        <f>IFERROR(INDEX(Dim_Category[CategoryName],MATCH(INDEX(Dim_Vendor[DefaultCategoryID],MATCH($D151,Dim_Vendor[VendorName],0)),Dim_Category[CategoryID],0)),"")</f>
        <v/>
      </c>
      <c r="H151">
        <f>IF($C151="","",IF(SignConvention="Negative = Expense",IF($C151&lt;0,"Expense","Income"),IF($C151&gt;0,"Expense","Income")))</f>
        <v/>
      </c>
      <c r="I151" s="27">
        <f>IF($C151="","",ABS($C151))</f>
        <v/>
      </c>
    </row>
    <row r="152">
      <c r="A152" s="37" t="n"/>
      <c r="C152" s="27" t="n"/>
      <c r="D152">
        <f>IF($B152="","",IFERROR(INDEX($D$17:$D$151,MATCH($B152,$B$17:$B$151,0)),""))</f>
        <v/>
      </c>
      <c r="E152">
        <f>IFERROR(INDEX(Dim_Category[CategoryName],MATCH(INDEX(Dim_Vendor[DefaultCategoryID],MATCH($D152,Dim_Vendor[VendorName],0)),Dim_Category[CategoryID],0)),"")</f>
        <v/>
      </c>
      <c r="H152">
        <f>IF($C152="","",IF(SignConvention="Negative = Expense",IF($C152&lt;0,"Expense","Income"),IF($C152&gt;0,"Expense","Income")))</f>
        <v/>
      </c>
      <c r="I152" s="27">
        <f>IF($C152="","",ABS($C152))</f>
        <v/>
      </c>
    </row>
    <row r="153">
      <c r="A153" s="37" t="n"/>
      <c r="C153" s="27" t="n"/>
      <c r="D153">
        <f>IF($B153="","",IFERROR(INDEX($D$17:$D$152,MATCH($B153,$B$17:$B$152,0)),""))</f>
        <v/>
      </c>
      <c r="E153">
        <f>IFERROR(INDEX(Dim_Category[CategoryName],MATCH(INDEX(Dim_Vendor[DefaultCategoryID],MATCH($D153,Dim_Vendor[VendorName],0)),Dim_Category[CategoryID],0)),"")</f>
        <v/>
      </c>
      <c r="H153">
        <f>IF($C153="","",IF(SignConvention="Negative = Expense",IF($C153&lt;0,"Expense","Income"),IF($C153&gt;0,"Expense","Income")))</f>
        <v/>
      </c>
      <c r="I153" s="27">
        <f>IF($C153="","",ABS($C153))</f>
        <v/>
      </c>
    </row>
    <row r="154">
      <c r="A154" s="37" t="n"/>
      <c r="C154" s="27" t="n"/>
      <c r="D154">
        <f>IF($B154="","",IFERROR(INDEX($D$17:$D$153,MATCH($B154,$B$17:$B$153,0)),""))</f>
        <v/>
      </c>
      <c r="E154">
        <f>IFERROR(INDEX(Dim_Category[CategoryName],MATCH(INDEX(Dim_Vendor[DefaultCategoryID],MATCH($D154,Dim_Vendor[VendorName],0)),Dim_Category[CategoryID],0)),"")</f>
        <v/>
      </c>
      <c r="H154">
        <f>IF($C154="","",IF(SignConvention="Negative = Expense",IF($C154&lt;0,"Expense","Income"),IF($C154&gt;0,"Expense","Income")))</f>
        <v/>
      </c>
      <c r="I154" s="27">
        <f>IF($C154="","",ABS($C154))</f>
        <v/>
      </c>
    </row>
    <row r="155">
      <c r="A155" s="37" t="n"/>
      <c r="C155" s="27" t="n"/>
      <c r="D155">
        <f>IF($B155="","",IFERROR(INDEX($D$17:$D$154,MATCH($B155,$B$17:$B$154,0)),""))</f>
        <v/>
      </c>
      <c r="E155">
        <f>IFERROR(INDEX(Dim_Category[CategoryName],MATCH(INDEX(Dim_Vendor[DefaultCategoryID],MATCH($D155,Dim_Vendor[VendorName],0)),Dim_Category[CategoryID],0)),"")</f>
        <v/>
      </c>
      <c r="H155">
        <f>IF($C155="","",IF(SignConvention="Negative = Expense",IF($C155&lt;0,"Expense","Income"),IF($C155&gt;0,"Expense","Income")))</f>
        <v/>
      </c>
      <c r="I155" s="27">
        <f>IF($C155="","",ABS($C155))</f>
        <v/>
      </c>
    </row>
    <row r="156">
      <c r="A156" s="37" t="n"/>
      <c r="C156" s="27" t="n"/>
      <c r="D156">
        <f>IF($B156="","",IFERROR(INDEX($D$17:$D$155,MATCH($B156,$B$17:$B$155,0)),""))</f>
        <v/>
      </c>
      <c r="E156">
        <f>IFERROR(INDEX(Dim_Category[CategoryName],MATCH(INDEX(Dim_Vendor[DefaultCategoryID],MATCH($D156,Dim_Vendor[VendorName],0)),Dim_Category[CategoryID],0)),"")</f>
        <v/>
      </c>
      <c r="H156">
        <f>IF($C156="","",IF(SignConvention="Negative = Expense",IF($C156&lt;0,"Expense","Income"),IF($C156&gt;0,"Expense","Income")))</f>
        <v/>
      </c>
      <c r="I156" s="27">
        <f>IF($C156="","",ABS($C156))</f>
        <v/>
      </c>
    </row>
    <row r="157">
      <c r="A157" s="37" t="n"/>
      <c r="C157" s="27" t="n"/>
      <c r="D157">
        <f>IF($B157="","",IFERROR(INDEX($D$17:$D$156,MATCH($B157,$B$17:$B$156,0)),""))</f>
        <v/>
      </c>
      <c r="E157">
        <f>IFERROR(INDEX(Dim_Category[CategoryName],MATCH(INDEX(Dim_Vendor[DefaultCategoryID],MATCH($D157,Dim_Vendor[VendorName],0)),Dim_Category[CategoryID],0)),"")</f>
        <v/>
      </c>
      <c r="H157">
        <f>IF($C157="","",IF(SignConvention="Negative = Expense",IF($C157&lt;0,"Expense","Income"),IF($C157&gt;0,"Expense","Income")))</f>
        <v/>
      </c>
      <c r="I157" s="27">
        <f>IF($C157="","",ABS($C157))</f>
        <v/>
      </c>
    </row>
    <row r="158">
      <c r="A158" s="37" t="n"/>
      <c r="C158" s="27" t="n"/>
      <c r="D158">
        <f>IF($B158="","",IFERROR(INDEX($D$17:$D$157,MATCH($B158,$B$17:$B$157,0)),""))</f>
        <v/>
      </c>
      <c r="E158">
        <f>IFERROR(INDEX(Dim_Category[CategoryName],MATCH(INDEX(Dim_Vendor[DefaultCategoryID],MATCH($D158,Dim_Vendor[VendorName],0)),Dim_Category[CategoryID],0)),"")</f>
        <v/>
      </c>
      <c r="H158">
        <f>IF($C158="","",IF(SignConvention="Negative = Expense",IF($C158&lt;0,"Expense","Income"),IF($C158&gt;0,"Expense","Income")))</f>
        <v/>
      </c>
      <c r="I158" s="27">
        <f>IF($C158="","",ABS($C158))</f>
        <v/>
      </c>
    </row>
    <row r="159">
      <c r="A159" s="37" t="n"/>
      <c r="C159" s="27" t="n"/>
      <c r="D159">
        <f>IF($B159="","",IFERROR(INDEX($D$17:$D$158,MATCH($B159,$B$17:$B$158,0)),""))</f>
        <v/>
      </c>
      <c r="E159">
        <f>IFERROR(INDEX(Dim_Category[CategoryName],MATCH(INDEX(Dim_Vendor[DefaultCategoryID],MATCH($D159,Dim_Vendor[VendorName],0)),Dim_Category[CategoryID],0)),"")</f>
        <v/>
      </c>
      <c r="H159">
        <f>IF($C159="","",IF(SignConvention="Negative = Expense",IF($C159&lt;0,"Expense","Income"),IF($C159&gt;0,"Expense","Income")))</f>
        <v/>
      </c>
      <c r="I159" s="27">
        <f>IF($C159="","",ABS($C159))</f>
        <v/>
      </c>
    </row>
    <row r="160">
      <c r="A160" s="37" t="n"/>
      <c r="C160" s="27" t="n"/>
      <c r="D160">
        <f>IF($B160="","",IFERROR(INDEX($D$17:$D$159,MATCH($B160,$B$17:$B$159,0)),""))</f>
        <v/>
      </c>
      <c r="E160">
        <f>IFERROR(INDEX(Dim_Category[CategoryName],MATCH(INDEX(Dim_Vendor[DefaultCategoryID],MATCH($D160,Dim_Vendor[VendorName],0)),Dim_Category[CategoryID],0)),"")</f>
        <v/>
      </c>
      <c r="H160">
        <f>IF($C160="","",IF(SignConvention="Negative = Expense",IF($C160&lt;0,"Expense","Income"),IF($C160&gt;0,"Expense","Income")))</f>
        <v/>
      </c>
      <c r="I160" s="27">
        <f>IF($C160="","",ABS($C160))</f>
        <v/>
      </c>
    </row>
    <row r="161">
      <c r="A161" s="37" t="n"/>
      <c r="C161" s="27" t="n"/>
      <c r="D161">
        <f>IF($B161="","",IFERROR(INDEX($D$17:$D$160,MATCH($B161,$B$17:$B$160,0)),""))</f>
        <v/>
      </c>
      <c r="E161">
        <f>IFERROR(INDEX(Dim_Category[CategoryName],MATCH(INDEX(Dim_Vendor[DefaultCategoryID],MATCH($D161,Dim_Vendor[VendorName],0)),Dim_Category[CategoryID],0)),"")</f>
        <v/>
      </c>
      <c r="H161">
        <f>IF($C161="","",IF(SignConvention="Negative = Expense",IF($C161&lt;0,"Expense","Income"),IF($C161&gt;0,"Expense","Income")))</f>
        <v/>
      </c>
      <c r="I161" s="27">
        <f>IF($C161="","",ABS($C161))</f>
        <v/>
      </c>
    </row>
    <row r="162">
      <c r="A162" s="37" t="n"/>
      <c r="C162" s="27" t="n"/>
      <c r="D162">
        <f>IF($B162="","",IFERROR(INDEX($D$17:$D$161,MATCH($B162,$B$17:$B$161,0)),""))</f>
        <v/>
      </c>
      <c r="E162">
        <f>IFERROR(INDEX(Dim_Category[CategoryName],MATCH(INDEX(Dim_Vendor[DefaultCategoryID],MATCH($D162,Dim_Vendor[VendorName],0)),Dim_Category[CategoryID],0)),"")</f>
        <v/>
      </c>
      <c r="H162">
        <f>IF($C162="","",IF(SignConvention="Negative = Expense",IF($C162&lt;0,"Expense","Income"),IF($C162&gt;0,"Expense","Income")))</f>
        <v/>
      </c>
      <c r="I162" s="27">
        <f>IF($C162="","",ABS($C162))</f>
        <v/>
      </c>
    </row>
    <row r="163">
      <c r="A163" s="37" t="n"/>
      <c r="C163" s="27" t="n"/>
      <c r="D163">
        <f>IF($B163="","",IFERROR(INDEX($D$17:$D$162,MATCH($B163,$B$17:$B$162,0)),""))</f>
        <v/>
      </c>
      <c r="E163">
        <f>IFERROR(INDEX(Dim_Category[CategoryName],MATCH(INDEX(Dim_Vendor[DefaultCategoryID],MATCH($D163,Dim_Vendor[VendorName],0)),Dim_Category[CategoryID],0)),"")</f>
        <v/>
      </c>
      <c r="H163">
        <f>IF($C163="","",IF(SignConvention="Negative = Expense",IF($C163&lt;0,"Expense","Income"),IF($C163&gt;0,"Expense","Income")))</f>
        <v/>
      </c>
      <c r="I163" s="27">
        <f>IF($C163="","",ABS($C163))</f>
        <v/>
      </c>
    </row>
    <row r="164">
      <c r="A164" s="37" t="n"/>
      <c r="C164" s="27" t="n"/>
      <c r="D164">
        <f>IF($B164="","",IFERROR(INDEX($D$17:$D$163,MATCH($B164,$B$17:$B$163,0)),""))</f>
        <v/>
      </c>
      <c r="E164">
        <f>IFERROR(INDEX(Dim_Category[CategoryName],MATCH(INDEX(Dim_Vendor[DefaultCategoryID],MATCH($D164,Dim_Vendor[VendorName],0)),Dim_Category[CategoryID],0)),"")</f>
        <v/>
      </c>
      <c r="H164">
        <f>IF($C164="","",IF(SignConvention="Negative = Expense",IF($C164&lt;0,"Expense","Income"),IF($C164&gt;0,"Expense","Income")))</f>
        <v/>
      </c>
      <c r="I164" s="27">
        <f>IF($C164="","",ABS($C164))</f>
        <v/>
      </c>
    </row>
    <row r="165">
      <c r="A165" s="37" t="n"/>
      <c r="C165" s="27" t="n"/>
      <c r="D165">
        <f>IF($B165="","",IFERROR(INDEX($D$17:$D$164,MATCH($B165,$B$17:$B$164,0)),""))</f>
        <v/>
      </c>
      <c r="E165">
        <f>IFERROR(INDEX(Dim_Category[CategoryName],MATCH(INDEX(Dim_Vendor[DefaultCategoryID],MATCH($D165,Dim_Vendor[VendorName],0)),Dim_Category[CategoryID],0)),"")</f>
        <v/>
      </c>
      <c r="H165">
        <f>IF($C165="","",IF(SignConvention="Negative = Expense",IF($C165&lt;0,"Expense","Income"),IF($C165&gt;0,"Expense","Income")))</f>
        <v/>
      </c>
      <c r="I165" s="27">
        <f>IF($C165="","",ABS($C165))</f>
        <v/>
      </c>
    </row>
    <row r="166">
      <c r="A166" s="37" t="n"/>
      <c r="C166" s="27" t="n"/>
      <c r="D166">
        <f>IF($B166="","",IFERROR(INDEX($D$17:$D$165,MATCH($B166,$B$17:$B$165,0)),""))</f>
        <v/>
      </c>
      <c r="E166">
        <f>IFERROR(INDEX(Dim_Category[CategoryName],MATCH(INDEX(Dim_Vendor[DefaultCategoryID],MATCH($D166,Dim_Vendor[VendorName],0)),Dim_Category[CategoryID],0)),"")</f>
        <v/>
      </c>
      <c r="H166">
        <f>IF($C166="","",IF(SignConvention="Negative = Expense",IF($C166&lt;0,"Expense","Income"),IF($C166&gt;0,"Expense","Income")))</f>
        <v/>
      </c>
      <c r="I166" s="27">
        <f>IF($C166="","",ABS($C166))</f>
        <v/>
      </c>
    </row>
    <row r="167">
      <c r="A167" s="37" t="n"/>
      <c r="C167" s="27" t="n"/>
      <c r="D167">
        <f>IF($B167="","",IFERROR(INDEX($D$17:$D$166,MATCH($B167,$B$17:$B$166,0)),""))</f>
        <v/>
      </c>
      <c r="E167">
        <f>IFERROR(INDEX(Dim_Category[CategoryName],MATCH(INDEX(Dim_Vendor[DefaultCategoryID],MATCH($D167,Dim_Vendor[VendorName],0)),Dim_Category[CategoryID],0)),"")</f>
        <v/>
      </c>
      <c r="H167">
        <f>IF($C167="","",IF(SignConvention="Negative = Expense",IF($C167&lt;0,"Expense","Income"),IF($C167&gt;0,"Expense","Income")))</f>
        <v/>
      </c>
      <c r="I167" s="27">
        <f>IF($C167="","",ABS($C167))</f>
        <v/>
      </c>
    </row>
    <row r="168">
      <c r="A168" s="37" t="n"/>
      <c r="C168" s="27" t="n"/>
      <c r="D168">
        <f>IF($B168="","",IFERROR(INDEX($D$17:$D$167,MATCH($B168,$B$17:$B$167,0)),""))</f>
        <v/>
      </c>
      <c r="E168">
        <f>IFERROR(INDEX(Dim_Category[CategoryName],MATCH(INDEX(Dim_Vendor[DefaultCategoryID],MATCH($D168,Dim_Vendor[VendorName],0)),Dim_Category[CategoryID],0)),"")</f>
        <v/>
      </c>
      <c r="H168">
        <f>IF($C168="","",IF(SignConvention="Negative = Expense",IF($C168&lt;0,"Expense","Income"),IF($C168&gt;0,"Expense","Income")))</f>
        <v/>
      </c>
      <c r="I168" s="27">
        <f>IF($C168="","",ABS($C168))</f>
        <v/>
      </c>
    </row>
    <row r="169">
      <c r="A169" s="37" t="n"/>
      <c r="C169" s="27" t="n"/>
      <c r="D169">
        <f>IF($B169="","",IFERROR(INDEX($D$17:$D$168,MATCH($B169,$B$17:$B$168,0)),""))</f>
        <v/>
      </c>
      <c r="E169">
        <f>IFERROR(INDEX(Dim_Category[CategoryName],MATCH(INDEX(Dim_Vendor[DefaultCategoryID],MATCH($D169,Dim_Vendor[VendorName],0)),Dim_Category[CategoryID],0)),"")</f>
        <v/>
      </c>
      <c r="H169">
        <f>IF($C169="","",IF(SignConvention="Negative = Expense",IF($C169&lt;0,"Expense","Income"),IF($C169&gt;0,"Expense","Income")))</f>
        <v/>
      </c>
      <c r="I169" s="27">
        <f>IF($C169="","",ABS($C169))</f>
        <v/>
      </c>
    </row>
    <row r="170">
      <c r="A170" s="37" t="n"/>
      <c r="C170" s="27" t="n"/>
      <c r="D170">
        <f>IF($B170="","",IFERROR(INDEX($D$17:$D$169,MATCH($B170,$B$17:$B$169,0)),""))</f>
        <v/>
      </c>
      <c r="E170">
        <f>IFERROR(INDEX(Dim_Category[CategoryName],MATCH(INDEX(Dim_Vendor[DefaultCategoryID],MATCH($D170,Dim_Vendor[VendorName],0)),Dim_Category[CategoryID],0)),"")</f>
        <v/>
      </c>
      <c r="H170">
        <f>IF($C170="","",IF(SignConvention="Negative = Expense",IF($C170&lt;0,"Expense","Income"),IF($C170&gt;0,"Expense","Income")))</f>
        <v/>
      </c>
      <c r="I170" s="27">
        <f>IF($C170="","",ABS($C170))</f>
        <v/>
      </c>
    </row>
    <row r="171">
      <c r="A171" s="37" t="n"/>
      <c r="C171" s="27" t="n"/>
      <c r="D171">
        <f>IF($B171="","",IFERROR(INDEX($D$17:$D$170,MATCH($B171,$B$17:$B$170,0)),""))</f>
        <v/>
      </c>
      <c r="E171">
        <f>IFERROR(INDEX(Dim_Category[CategoryName],MATCH(INDEX(Dim_Vendor[DefaultCategoryID],MATCH($D171,Dim_Vendor[VendorName],0)),Dim_Category[CategoryID],0)),"")</f>
        <v/>
      </c>
      <c r="H171">
        <f>IF($C171="","",IF(SignConvention="Negative = Expense",IF($C171&lt;0,"Expense","Income"),IF($C171&gt;0,"Expense","Income")))</f>
        <v/>
      </c>
      <c r="I171" s="27">
        <f>IF($C171="","",ABS($C171))</f>
        <v/>
      </c>
    </row>
    <row r="172">
      <c r="A172" s="37" t="n"/>
      <c r="C172" s="27" t="n"/>
      <c r="D172">
        <f>IF($B172="","",IFERROR(INDEX($D$17:$D$171,MATCH($B172,$B$17:$B$171,0)),""))</f>
        <v/>
      </c>
      <c r="E172">
        <f>IFERROR(INDEX(Dim_Category[CategoryName],MATCH(INDEX(Dim_Vendor[DefaultCategoryID],MATCH($D172,Dim_Vendor[VendorName],0)),Dim_Category[CategoryID],0)),"")</f>
        <v/>
      </c>
      <c r="H172">
        <f>IF($C172="","",IF(SignConvention="Negative = Expense",IF($C172&lt;0,"Expense","Income"),IF($C172&gt;0,"Expense","Income")))</f>
        <v/>
      </c>
      <c r="I172" s="27">
        <f>IF($C172="","",ABS($C172))</f>
        <v/>
      </c>
    </row>
    <row r="173">
      <c r="A173" s="37" t="n"/>
      <c r="C173" s="27" t="n"/>
      <c r="D173">
        <f>IF($B173="","",IFERROR(INDEX($D$17:$D$172,MATCH($B173,$B$17:$B$172,0)),""))</f>
        <v/>
      </c>
      <c r="E173">
        <f>IFERROR(INDEX(Dim_Category[CategoryName],MATCH(INDEX(Dim_Vendor[DefaultCategoryID],MATCH($D173,Dim_Vendor[VendorName],0)),Dim_Category[CategoryID],0)),"")</f>
        <v/>
      </c>
      <c r="H173">
        <f>IF($C173="","",IF(SignConvention="Negative = Expense",IF($C173&lt;0,"Expense","Income"),IF($C173&gt;0,"Expense","Income")))</f>
        <v/>
      </c>
      <c r="I173" s="27">
        <f>IF($C173="","",ABS($C173))</f>
        <v/>
      </c>
    </row>
    <row r="174">
      <c r="A174" s="37" t="n"/>
      <c r="C174" s="27" t="n"/>
      <c r="D174">
        <f>IF($B174="","",IFERROR(INDEX($D$17:$D$173,MATCH($B174,$B$17:$B$173,0)),""))</f>
        <v/>
      </c>
      <c r="E174">
        <f>IFERROR(INDEX(Dim_Category[CategoryName],MATCH(INDEX(Dim_Vendor[DefaultCategoryID],MATCH($D174,Dim_Vendor[VendorName],0)),Dim_Category[CategoryID],0)),"")</f>
        <v/>
      </c>
      <c r="H174">
        <f>IF($C174="","",IF(SignConvention="Negative = Expense",IF($C174&lt;0,"Expense","Income"),IF($C174&gt;0,"Expense","Income")))</f>
        <v/>
      </c>
      <c r="I174" s="27">
        <f>IF($C174="","",ABS($C174))</f>
        <v/>
      </c>
    </row>
    <row r="175">
      <c r="A175" s="37" t="n"/>
      <c r="C175" s="27" t="n"/>
      <c r="D175">
        <f>IF($B175="","",IFERROR(INDEX($D$17:$D$174,MATCH($B175,$B$17:$B$174,0)),""))</f>
        <v/>
      </c>
      <c r="E175">
        <f>IFERROR(INDEX(Dim_Category[CategoryName],MATCH(INDEX(Dim_Vendor[DefaultCategoryID],MATCH($D175,Dim_Vendor[VendorName],0)),Dim_Category[CategoryID],0)),"")</f>
        <v/>
      </c>
      <c r="H175">
        <f>IF($C175="","",IF(SignConvention="Negative = Expense",IF($C175&lt;0,"Expense","Income"),IF($C175&gt;0,"Expense","Income")))</f>
        <v/>
      </c>
      <c r="I175" s="27">
        <f>IF($C175="","",ABS($C175))</f>
        <v/>
      </c>
    </row>
    <row r="176">
      <c r="A176" s="37" t="n"/>
      <c r="C176" s="27" t="n"/>
      <c r="D176">
        <f>IF($B176="","",IFERROR(INDEX($D$17:$D$175,MATCH($B176,$B$17:$B$175,0)),""))</f>
        <v/>
      </c>
      <c r="E176">
        <f>IFERROR(INDEX(Dim_Category[CategoryName],MATCH(INDEX(Dim_Vendor[DefaultCategoryID],MATCH($D176,Dim_Vendor[VendorName],0)),Dim_Category[CategoryID],0)),"")</f>
        <v/>
      </c>
      <c r="H176">
        <f>IF($C176="","",IF(SignConvention="Negative = Expense",IF($C176&lt;0,"Expense","Income"),IF($C176&gt;0,"Expense","Income")))</f>
        <v/>
      </c>
      <c r="I176" s="27">
        <f>IF($C176="","",ABS($C176))</f>
        <v/>
      </c>
    </row>
    <row r="177">
      <c r="A177" s="37" t="n"/>
      <c r="C177" s="27" t="n"/>
      <c r="D177">
        <f>IF($B177="","",IFERROR(INDEX($D$17:$D$176,MATCH($B177,$B$17:$B$176,0)),""))</f>
        <v/>
      </c>
      <c r="E177">
        <f>IFERROR(INDEX(Dim_Category[CategoryName],MATCH(INDEX(Dim_Vendor[DefaultCategoryID],MATCH($D177,Dim_Vendor[VendorName],0)),Dim_Category[CategoryID],0)),"")</f>
        <v/>
      </c>
      <c r="H177">
        <f>IF($C177="","",IF(SignConvention="Negative = Expense",IF($C177&lt;0,"Expense","Income"),IF($C177&gt;0,"Expense","Income")))</f>
        <v/>
      </c>
      <c r="I177" s="27">
        <f>IF($C177="","",ABS($C177))</f>
        <v/>
      </c>
    </row>
    <row r="178">
      <c r="A178" s="37" t="n"/>
      <c r="C178" s="27" t="n"/>
      <c r="D178">
        <f>IF($B178="","",IFERROR(INDEX($D$17:$D$177,MATCH($B178,$B$17:$B$177,0)),""))</f>
        <v/>
      </c>
      <c r="E178">
        <f>IFERROR(INDEX(Dim_Category[CategoryName],MATCH(INDEX(Dim_Vendor[DefaultCategoryID],MATCH($D178,Dim_Vendor[VendorName],0)),Dim_Category[CategoryID],0)),"")</f>
        <v/>
      </c>
      <c r="H178">
        <f>IF($C178="","",IF(SignConvention="Negative = Expense",IF($C178&lt;0,"Expense","Income"),IF($C178&gt;0,"Expense","Income")))</f>
        <v/>
      </c>
      <c r="I178" s="27">
        <f>IF($C178="","",ABS($C178))</f>
        <v/>
      </c>
    </row>
    <row r="179">
      <c r="A179" s="37" t="n"/>
      <c r="C179" s="27" t="n"/>
      <c r="D179">
        <f>IF($B179="","",IFERROR(INDEX($D$17:$D$178,MATCH($B179,$B$17:$B$178,0)),""))</f>
        <v/>
      </c>
      <c r="E179">
        <f>IFERROR(INDEX(Dim_Category[CategoryName],MATCH(INDEX(Dim_Vendor[DefaultCategoryID],MATCH($D179,Dim_Vendor[VendorName],0)),Dim_Category[CategoryID],0)),"")</f>
        <v/>
      </c>
      <c r="H179">
        <f>IF($C179="","",IF(SignConvention="Negative = Expense",IF($C179&lt;0,"Expense","Income"),IF($C179&gt;0,"Expense","Income")))</f>
        <v/>
      </c>
      <c r="I179" s="27">
        <f>IF($C179="","",ABS($C179))</f>
        <v/>
      </c>
    </row>
    <row r="180">
      <c r="A180" s="37" t="n"/>
      <c r="C180" s="27" t="n"/>
      <c r="D180">
        <f>IF($B180="","",IFERROR(INDEX($D$17:$D$179,MATCH($B180,$B$17:$B$179,0)),""))</f>
        <v/>
      </c>
      <c r="E180">
        <f>IFERROR(INDEX(Dim_Category[CategoryName],MATCH(INDEX(Dim_Vendor[DefaultCategoryID],MATCH($D180,Dim_Vendor[VendorName],0)),Dim_Category[CategoryID],0)),"")</f>
        <v/>
      </c>
      <c r="H180">
        <f>IF($C180="","",IF(SignConvention="Negative = Expense",IF($C180&lt;0,"Expense","Income"),IF($C180&gt;0,"Expense","Income")))</f>
        <v/>
      </c>
      <c r="I180" s="27">
        <f>IF($C180="","",ABS($C180))</f>
        <v/>
      </c>
    </row>
    <row r="181">
      <c r="A181" s="37" t="n"/>
      <c r="C181" s="27" t="n"/>
      <c r="D181">
        <f>IF($B181="","",IFERROR(INDEX($D$17:$D$180,MATCH($B181,$B$17:$B$180,0)),""))</f>
        <v/>
      </c>
      <c r="E181">
        <f>IFERROR(INDEX(Dim_Category[CategoryName],MATCH(INDEX(Dim_Vendor[DefaultCategoryID],MATCH($D181,Dim_Vendor[VendorName],0)),Dim_Category[CategoryID],0)),"")</f>
        <v/>
      </c>
      <c r="H181">
        <f>IF($C181="","",IF(SignConvention="Negative = Expense",IF($C181&lt;0,"Expense","Income"),IF($C181&gt;0,"Expense","Income")))</f>
        <v/>
      </c>
      <c r="I181" s="27">
        <f>IF($C181="","",ABS($C181))</f>
        <v/>
      </c>
    </row>
    <row r="182">
      <c r="A182" s="37" t="n"/>
      <c r="C182" s="27" t="n"/>
      <c r="D182">
        <f>IF($B182="","",IFERROR(INDEX($D$17:$D$181,MATCH($B182,$B$17:$B$181,0)),""))</f>
        <v/>
      </c>
      <c r="E182">
        <f>IFERROR(INDEX(Dim_Category[CategoryName],MATCH(INDEX(Dim_Vendor[DefaultCategoryID],MATCH($D182,Dim_Vendor[VendorName],0)),Dim_Category[CategoryID],0)),"")</f>
        <v/>
      </c>
      <c r="H182">
        <f>IF($C182="","",IF(SignConvention="Negative = Expense",IF($C182&lt;0,"Expense","Income"),IF($C182&gt;0,"Expense","Income")))</f>
        <v/>
      </c>
      <c r="I182" s="27">
        <f>IF($C182="","",ABS($C182))</f>
        <v/>
      </c>
    </row>
    <row r="183">
      <c r="A183" s="37" t="n"/>
      <c r="C183" s="27" t="n"/>
      <c r="D183">
        <f>IF($B183="","",IFERROR(INDEX($D$17:$D$182,MATCH($B183,$B$17:$B$182,0)),""))</f>
        <v/>
      </c>
      <c r="E183">
        <f>IFERROR(INDEX(Dim_Category[CategoryName],MATCH(INDEX(Dim_Vendor[DefaultCategoryID],MATCH($D183,Dim_Vendor[VendorName],0)),Dim_Category[CategoryID],0)),"")</f>
        <v/>
      </c>
      <c r="H183">
        <f>IF($C183="","",IF(SignConvention="Negative = Expense",IF($C183&lt;0,"Expense","Income"),IF($C183&gt;0,"Expense","Income")))</f>
        <v/>
      </c>
      <c r="I183" s="27">
        <f>IF($C183="","",ABS($C183))</f>
        <v/>
      </c>
    </row>
    <row r="184">
      <c r="A184" s="37" t="n"/>
      <c r="C184" s="27" t="n"/>
      <c r="D184">
        <f>IF($B184="","",IFERROR(INDEX($D$17:$D$183,MATCH($B184,$B$17:$B$183,0)),""))</f>
        <v/>
      </c>
      <c r="E184">
        <f>IFERROR(INDEX(Dim_Category[CategoryName],MATCH(INDEX(Dim_Vendor[DefaultCategoryID],MATCH($D184,Dim_Vendor[VendorName],0)),Dim_Category[CategoryID],0)),"")</f>
        <v/>
      </c>
      <c r="H184">
        <f>IF($C184="","",IF(SignConvention="Negative = Expense",IF($C184&lt;0,"Expense","Income"),IF($C184&gt;0,"Expense","Income")))</f>
        <v/>
      </c>
      <c r="I184" s="27">
        <f>IF($C184="","",ABS($C184))</f>
        <v/>
      </c>
    </row>
    <row r="185">
      <c r="A185" s="37" t="n"/>
      <c r="C185" s="27" t="n"/>
      <c r="D185">
        <f>IF($B185="","",IFERROR(INDEX($D$17:$D$184,MATCH($B185,$B$17:$B$184,0)),""))</f>
        <v/>
      </c>
      <c r="E185">
        <f>IFERROR(INDEX(Dim_Category[CategoryName],MATCH(INDEX(Dim_Vendor[DefaultCategoryID],MATCH($D185,Dim_Vendor[VendorName],0)),Dim_Category[CategoryID],0)),"")</f>
        <v/>
      </c>
      <c r="H185">
        <f>IF($C185="","",IF(SignConvention="Negative = Expense",IF($C185&lt;0,"Expense","Income"),IF($C185&gt;0,"Expense","Income")))</f>
        <v/>
      </c>
      <c r="I185" s="27">
        <f>IF($C185="","",ABS($C185))</f>
        <v/>
      </c>
    </row>
    <row r="186">
      <c r="A186" s="37" t="n"/>
      <c r="C186" s="27" t="n"/>
      <c r="D186">
        <f>IF($B186="","",IFERROR(INDEX($D$17:$D$185,MATCH($B186,$B$17:$B$185,0)),""))</f>
        <v/>
      </c>
      <c r="E186">
        <f>IFERROR(INDEX(Dim_Category[CategoryName],MATCH(INDEX(Dim_Vendor[DefaultCategoryID],MATCH($D186,Dim_Vendor[VendorName],0)),Dim_Category[CategoryID],0)),"")</f>
        <v/>
      </c>
      <c r="H186">
        <f>IF($C186="","",IF(SignConvention="Negative = Expense",IF($C186&lt;0,"Expense","Income"),IF($C186&gt;0,"Expense","Income")))</f>
        <v/>
      </c>
      <c r="I186" s="27">
        <f>IF($C186="","",ABS($C186))</f>
        <v/>
      </c>
    </row>
    <row r="187">
      <c r="A187" s="37" t="n"/>
      <c r="C187" s="27" t="n"/>
      <c r="D187">
        <f>IF($B187="","",IFERROR(INDEX($D$17:$D$186,MATCH($B187,$B$17:$B$186,0)),""))</f>
        <v/>
      </c>
      <c r="E187">
        <f>IFERROR(INDEX(Dim_Category[CategoryName],MATCH(INDEX(Dim_Vendor[DefaultCategoryID],MATCH($D187,Dim_Vendor[VendorName],0)),Dim_Category[CategoryID],0)),"")</f>
        <v/>
      </c>
      <c r="H187">
        <f>IF($C187="","",IF(SignConvention="Negative = Expense",IF($C187&lt;0,"Expense","Income"),IF($C187&gt;0,"Expense","Income")))</f>
        <v/>
      </c>
      <c r="I187" s="27">
        <f>IF($C187="","",ABS($C187))</f>
        <v/>
      </c>
    </row>
    <row r="188">
      <c r="A188" s="37" t="n"/>
      <c r="C188" s="27" t="n"/>
      <c r="D188">
        <f>IF($B188="","",IFERROR(INDEX($D$17:$D$187,MATCH($B188,$B$17:$B$187,0)),""))</f>
        <v/>
      </c>
      <c r="E188">
        <f>IFERROR(INDEX(Dim_Category[CategoryName],MATCH(INDEX(Dim_Vendor[DefaultCategoryID],MATCH($D188,Dim_Vendor[VendorName],0)),Dim_Category[CategoryID],0)),"")</f>
        <v/>
      </c>
      <c r="H188">
        <f>IF($C188="","",IF(SignConvention="Negative = Expense",IF($C188&lt;0,"Expense","Income"),IF($C188&gt;0,"Expense","Income")))</f>
        <v/>
      </c>
      <c r="I188" s="27">
        <f>IF($C188="","",ABS($C188))</f>
        <v/>
      </c>
    </row>
    <row r="189">
      <c r="A189" s="37" t="n"/>
      <c r="C189" s="27" t="n"/>
      <c r="D189">
        <f>IF($B189="","",IFERROR(INDEX($D$17:$D$188,MATCH($B189,$B$17:$B$188,0)),""))</f>
        <v/>
      </c>
      <c r="E189">
        <f>IFERROR(INDEX(Dim_Category[CategoryName],MATCH(INDEX(Dim_Vendor[DefaultCategoryID],MATCH($D189,Dim_Vendor[VendorName],0)),Dim_Category[CategoryID],0)),"")</f>
        <v/>
      </c>
      <c r="H189">
        <f>IF($C189="","",IF(SignConvention="Negative = Expense",IF($C189&lt;0,"Expense","Income"),IF($C189&gt;0,"Expense","Income")))</f>
        <v/>
      </c>
      <c r="I189" s="27">
        <f>IF($C189="","",ABS($C189))</f>
        <v/>
      </c>
    </row>
    <row r="190">
      <c r="A190" s="37" t="n"/>
      <c r="C190" s="27" t="n"/>
      <c r="D190">
        <f>IF($B190="","",IFERROR(INDEX($D$17:$D$189,MATCH($B190,$B$17:$B$189,0)),""))</f>
        <v/>
      </c>
      <c r="E190">
        <f>IFERROR(INDEX(Dim_Category[CategoryName],MATCH(INDEX(Dim_Vendor[DefaultCategoryID],MATCH($D190,Dim_Vendor[VendorName],0)),Dim_Category[CategoryID],0)),"")</f>
        <v/>
      </c>
      <c r="H190">
        <f>IF($C190="","",IF(SignConvention="Negative = Expense",IF($C190&lt;0,"Expense","Income"),IF($C190&gt;0,"Expense","Income")))</f>
        <v/>
      </c>
      <c r="I190" s="27">
        <f>IF($C190="","",ABS($C190))</f>
        <v/>
      </c>
    </row>
    <row r="191">
      <c r="A191" s="37" t="n"/>
      <c r="C191" s="27" t="n"/>
      <c r="D191">
        <f>IF($B191="","",IFERROR(INDEX($D$17:$D$190,MATCH($B191,$B$17:$B$190,0)),""))</f>
        <v/>
      </c>
      <c r="E191">
        <f>IFERROR(INDEX(Dim_Category[CategoryName],MATCH(INDEX(Dim_Vendor[DefaultCategoryID],MATCH($D191,Dim_Vendor[VendorName],0)),Dim_Category[CategoryID],0)),"")</f>
        <v/>
      </c>
      <c r="H191">
        <f>IF($C191="","",IF(SignConvention="Negative = Expense",IF($C191&lt;0,"Expense","Income"),IF($C191&gt;0,"Expense","Income")))</f>
        <v/>
      </c>
      <c r="I191" s="27">
        <f>IF($C191="","",ABS($C191))</f>
        <v/>
      </c>
    </row>
    <row r="192">
      <c r="A192" s="37" t="n"/>
      <c r="C192" s="27" t="n"/>
      <c r="D192">
        <f>IF($B192="","",IFERROR(INDEX($D$17:$D$191,MATCH($B192,$B$17:$B$191,0)),""))</f>
        <v/>
      </c>
      <c r="E192">
        <f>IFERROR(INDEX(Dim_Category[CategoryName],MATCH(INDEX(Dim_Vendor[DefaultCategoryID],MATCH($D192,Dim_Vendor[VendorName],0)),Dim_Category[CategoryID],0)),"")</f>
        <v/>
      </c>
      <c r="H192">
        <f>IF($C192="","",IF(SignConvention="Negative = Expense",IF($C192&lt;0,"Expense","Income"),IF($C192&gt;0,"Expense","Income")))</f>
        <v/>
      </c>
      <c r="I192" s="27">
        <f>IF($C192="","",ABS($C192))</f>
        <v/>
      </c>
    </row>
    <row r="193">
      <c r="A193" s="37" t="n"/>
      <c r="C193" s="27" t="n"/>
      <c r="D193">
        <f>IF($B193="","",IFERROR(INDEX($D$17:$D$192,MATCH($B193,$B$17:$B$192,0)),""))</f>
        <v/>
      </c>
      <c r="E193">
        <f>IFERROR(INDEX(Dim_Category[CategoryName],MATCH(INDEX(Dim_Vendor[DefaultCategoryID],MATCH($D193,Dim_Vendor[VendorName],0)),Dim_Category[CategoryID],0)),"")</f>
        <v/>
      </c>
      <c r="H193">
        <f>IF($C193="","",IF(SignConvention="Negative = Expense",IF($C193&lt;0,"Expense","Income"),IF($C193&gt;0,"Expense","Income")))</f>
        <v/>
      </c>
      <c r="I193" s="27">
        <f>IF($C193="","",ABS($C193))</f>
        <v/>
      </c>
    </row>
    <row r="194">
      <c r="A194" s="37" t="n"/>
      <c r="C194" s="27" t="n"/>
      <c r="D194">
        <f>IF($B194="","",IFERROR(INDEX($D$17:$D$193,MATCH($B194,$B$17:$B$193,0)),""))</f>
        <v/>
      </c>
      <c r="E194">
        <f>IFERROR(INDEX(Dim_Category[CategoryName],MATCH(INDEX(Dim_Vendor[DefaultCategoryID],MATCH($D194,Dim_Vendor[VendorName],0)),Dim_Category[CategoryID],0)),"")</f>
        <v/>
      </c>
      <c r="H194">
        <f>IF($C194="","",IF(SignConvention="Negative = Expense",IF($C194&lt;0,"Expense","Income"),IF($C194&gt;0,"Expense","Income")))</f>
        <v/>
      </c>
      <c r="I194" s="27">
        <f>IF($C194="","",ABS($C194))</f>
        <v/>
      </c>
    </row>
    <row r="195">
      <c r="A195" s="37" t="n"/>
      <c r="C195" s="27" t="n"/>
      <c r="D195">
        <f>IF($B195="","",IFERROR(INDEX($D$17:$D$194,MATCH($B195,$B$17:$B$194,0)),""))</f>
        <v/>
      </c>
      <c r="E195">
        <f>IFERROR(INDEX(Dim_Category[CategoryName],MATCH(INDEX(Dim_Vendor[DefaultCategoryID],MATCH($D195,Dim_Vendor[VendorName],0)),Dim_Category[CategoryID],0)),"")</f>
        <v/>
      </c>
      <c r="H195">
        <f>IF($C195="","",IF(SignConvention="Negative = Expense",IF($C195&lt;0,"Expense","Income"),IF($C195&gt;0,"Expense","Income")))</f>
        <v/>
      </c>
      <c r="I195" s="27">
        <f>IF($C195="","",ABS($C195))</f>
        <v/>
      </c>
    </row>
    <row r="196">
      <c r="A196" s="37" t="n"/>
      <c r="C196" s="27" t="n"/>
      <c r="D196">
        <f>IF($B196="","",IFERROR(INDEX($D$17:$D$195,MATCH($B196,$B$17:$B$195,0)),""))</f>
        <v/>
      </c>
      <c r="E196">
        <f>IFERROR(INDEX(Dim_Category[CategoryName],MATCH(INDEX(Dim_Vendor[DefaultCategoryID],MATCH($D196,Dim_Vendor[VendorName],0)),Dim_Category[CategoryID],0)),"")</f>
        <v/>
      </c>
      <c r="H196">
        <f>IF($C196="","",IF(SignConvention="Negative = Expense",IF($C196&lt;0,"Expense","Income"),IF($C196&gt;0,"Expense","Income")))</f>
        <v/>
      </c>
      <c r="I196" s="27">
        <f>IF($C196="","",ABS($C196))</f>
        <v/>
      </c>
    </row>
    <row r="197">
      <c r="A197" s="37" t="n"/>
      <c r="C197" s="27" t="n"/>
      <c r="D197">
        <f>IF($B197="","",IFERROR(INDEX($D$17:$D$196,MATCH($B197,$B$17:$B$196,0)),""))</f>
        <v/>
      </c>
      <c r="E197">
        <f>IFERROR(INDEX(Dim_Category[CategoryName],MATCH(INDEX(Dim_Vendor[DefaultCategoryID],MATCH($D197,Dim_Vendor[VendorName],0)),Dim_Category[CategoryID],0)),"")</f>
        <v/>
      </c>
      <c r="H197">
        <f>IF($C197="","",IF(SignConvention="Negative = Expense",IF($C197&lt;0,"Expense","Income"),IF($C197&gt;0,"Expense","Income")))</f>
        <v/>
      </c>
      <c r="I197" s="27">
        <f>IF($C197="","",ABS($C197))</f>
        <v/>
      </c>
    </row>
    <row r="198">
      <c r="A198" s="37" t="n"/>
      <c r="C198" s="27" t="n"/>
      <c r="D198">
        <f>IF($B198="","",IFERROR(INDEX($D$17:$D$197,MATCH($B198,$B$17:$B$197,0)),""))</f>
        <v/>
      </c>
      <c r="E198">
        <f>IFERROR(INDEX(Dim_Category[CategoryName],MATCH(INDEX(Dim_Vendor[DefaultCategoryID],MATCH($D198,Dim_Vendor[VendorName],0)),Dim_Category[CategoryID],0)),"")</f>
        <v/>
      </c>
      <c r="H198">
        <f>IF($C198="","",IF(SignConvention="Negative = Expense",IF($C198&lt;0,"Expense","Income"),IF($C198&gt;0,"Expense","Income")))</f>
        <v/>
      </c>
      <c r="I198" s="27">
        <f>IF($C198="","",ABS($C198))</f>
        <v/>
      </c>
    </row>
    <row r="199">
      <c r="A199" s="37" t="n"/>
      <c r="C199" s="27" t="n"/>
      <c r="D199">
        <f>IF($B199="","",IFERROR(INDEX($D$17:$D$198,MATCH($B199,$B$17:$B$198,0)),""))</f>
        <v/>
      </c>
      <c r="E199">
        <f>IFERROR(INDEX(Dim_Category[CategoryName],MATCH(INDEX(Dim_Vendor[DefaultCategoryID],MATCH($D199,Dim_Vendor[VendorName],0)),Dim_Category[CategoryID],0)),"")</f>
        <v/>
      </c>
      <c r="H199">
        <f>IF($C199="","",IF(SignConvention="Negative = Expense",IF($C199&lt;0,"Expense","Income"),IF($C199&gt;0,"Expense","Income")))</f>
        <v/>
      </c>
      <c r="I199" s="27">
        <f>IF($C199="","",ABS($C199))</f>
        <v/>
      </c>
    </row>
    <row r="200">
      <c r="A200" s="37" t="n"/>
      <c r="C200" s="27" t="n"/>
      <c r="D200">
        <f>IF($B200="","",IFERROR(INDEX($D$17:$D$199,MATCH($B200,$B$17:$B$199,0)),""))</f>
        <v/>
      </c>
      <c r="E200">
        <f>IFERROR(INDEX(Dim_Category[CategoryName],MATCH(INDEX(Dim_Vendor[DefaultCategoryID],MATCH($D200,Dim_Vendor[VendorName],0)),Dim_Category[CategoryID],0)),"")</f>
        <v/>
      </c>
      <c r="H200">
        <f>IF($C200="","",IF(SignConvention="Negative = Expense",IF($C200&lt;0,"Expense","Income"),IF($C200&gt;0,"Expense","Income")))</f>
        <v/>
      </c>
      <c r="I200" s="27">
        <f>IF($C200="","",ABS($C200))</f>
        <v/>
      </c>
    </row>
    <row r="201">
      <c r="A201" s="37" t="n"/>
      <c r="C201" s="27" t="n"/>
      <c r="D201">
        <f>IF($B201="","",IFERROR(INDEX($D$17:$D$200,MATCH($B201,$B$17:$B$200,0)),""))</f>
        <v/>
      </c>
      <c r="E201">
        <f>IFERROR(INDEX(Dim_Category[CategoryName],MATCH(INDEX(Dim_Vendor[DefaultCategoryID],MATCH($D201,Dim_Vendor[VendorName],0)),Dim_Category[CategoryID],0)),"")</f>
        <v/>
      </c>
      <c r="H201">
        <f>IF($C201="","",IF(SignConvention="Negative = Expense",IF($C201&lt;0,"Expense","Income"),IF($C201&gt;0,"Expense","Income")))</f>
        <v/>
      </c>
      <c r="I201" s="27">
        <f>IF($C201="","",ABS($C201))</f>
        <v/>
      </c>
    </row>
    <row r="202">
      <c r="A202" s="37" t="n"/>
      <c r="C202" s="27" t="n"/>
      <c r="D202">
        <f>IF($B202="","",IFERROR(INDEX($D$17:$D$201,MATCH($B202,$B$17:$B$201,0)),""))</f>
        <v/>
      </c>
      <c r="E202">
        <f>IFERROR(INDEX(Dim_Category[CategoryName],MATCH(INDEX(Dim_Vendor[DefaultCategoryID],MATCH($D202,Dim_Vendor[VendorName],0)),Dim_Category[CategoryID],0)),"")</f>
        <v/>
      </c>
      <c r="H202">
        <f>IF($C202="","",IF(SignConvention="Negative = Expense",IF($C202&lt;0,"Expense","Income"),IF($C202&gt;0,"Expense","Income")))</f>
        <v/>
      </c>
      <c r="I202" s="27">
        <f>IF($C202="","",ABS($C202))</f>
        <v/>
      </c>
    </row>
    <row r="203">
      <c r="A203" s="37" t="n"/>
      <c r="C203" s="27" t="n"/>
      <c r="D203">
        <f>IF($B203="","",IFERROR(INDEX($D$17:$D$202,MATCH($B203,$B$17:$B$202,0)),""))</f>
        <v/>
      </c>
      <c r="E203">
        <f>IFERROR(INDEX(Dim_Category[CategoryName],MATCH(INDEX(Dim_Vendor[DefaultCategoryID],MATCH($D203,Dim_Vendor[VendorName],0)),Dim_Category[CategoryID],0)),"")</f>
        <v/>
      </c>
      <c r="H203">
        <f>IF($C203="","",IF(SignConvention="Negative = Expense",IF($C203&lt;0,"Expense","Income"),IF($C203&gt;0,"Expense","Income")))</f>
        <v/>
      </c>
      <c r="I203" s="27">
        <f>IF($C203="","",ABS($C203))</f>
        <v/>
      </c>
    </row>
    <row r="204">
      <c r="A204" s="37" t="n"/>
      <c r="C204" s="27" t="n"/>
      <c r="D204">
        <f>IF($B204="","",IFERROR(INDEX($D$17:$D$203,MATCH($B204,$B$17:$B$203,0)),""))</f>
        <v/>
      </c>
      <c r="E204">
        <f>IFERROR(INDEX(Dim_Category[CategoryName],MATCH(INDEX(Dim_Vendor[DefaultCategoryID],MATCH($D204,Dim_Vendor[VendorName],0)),Dim_Category[CategoryID],0)),"")</f>
        <v/>
      </c>
      <c r="H204">
        <f>IF($C204="","",IF(SignConvention="Negative = Expense",IF($C204&lt;0,"Expense","Income"),IF($C204&gt;0,"Expense","Income")))</f>
        <v/>
      </c>
      <c r="I204" s="27">
        <f>IF($C204="","",ABS($C204))</f>
        <v/>
      </c>
    </row>
    <row r="205">
      <c r="A205" s="37" t="n"/>
      <c r="C205" s="27" t="n"/>
      <c r="D205">
        <f>IF($B205="","",IFERROR(INDEX($D$17:$D$204,MATCH($B205,$B$17:$B$204,0)),""))</f>
        <v/>
      </c>
      <c r="E205">
        <f>IFERROR(INDEX(Dim_Category[CategoryName],MATCH(INDEX(Dim_Vendor[DefaultCategoryID],MATCH($D205,Dim_Vendor[VendorName],0)),Dim_Category[CategoryID],0)),"")</f>
        <v/>
      </c>
      <c r="H205">
        <f>IF($C205="","",IF(SignConvention="Negative = Expense",IF($C205&lt;0,"Expense","Income"),IF($C205&gt;0,"Expense","Income")))</f>
        <v/>
      </c>
      <c r="I205" s="27">
        <f>IF($C205="","",ABS($C205))</f>
        <v/>
      </c>
    </row>
    <row r="206">
      <c r="A206" s="37" t="n"/>
      <c r="C206" s="27" t="n"/>
      <c r="D206">
        <f>IF($B206="","",IFERROR(INDEX($D$17:$D$205,MATCH($B206,$B$17:$B$205,0)),""))</f>
        <v/>
      </c>
      <c r="E206">
        <f>IFERROR(INDEX(Dim_Category[CategoryName],MATCH(INDEX(Dim_Vendor[DefaultCategoryID],MATCH($D206,Dim_Vendor[VendorName],0)),Dim_Category[CategoryID],0)),"")</f>
        <v/>
      </c>
      <c r="H206">
        <f>IF($C206="","",IF(SignConvention="Negative = Expense",IF($C206&lt;0,"Expense","Income"),IF($C206&gt;0,"Expense","Income")))</f>
        <v/>
      </c>
      <c r="I206" s="27">
        <f>IF($C206="","",ABS($C206))</f>
        <v/>
      </c>
    </row>
    <row r="207">
      <c r="A207" s="37" t="n"/>
      <c r="C207" s="27" t="n"/>
      <c r="D207">
        <f>IF($B207="","",IFERROR(INDEX($D$17:$D$206,MATCH($B207,$B$17:$B$206,0)),""))</f>
        <v/>
      </c>
      <c r="E207">
        <f>IFERROR(INDEX(Dim_Category[CategoryName],MATCH(INDEX(Dim_Vendor[DefaultCategoryID],MATCH($D207,Dim_Vendor[VendorName],0)),Dim_Category[CategoryID],0)),"")</f>
        <v/>
      </c>
      <c r="H207">
        <f>IF($C207="","",IF(SignConvention="Negative = Expense",IF($C207&lt;0,"Expense","Income"),IF($C207&gt;0,"Expense","Income")))</f>
        <v/>
      </c>
      <c r="I207" s="27">
        <f>IF($C207="","",ABS($C207))</f>
        <v/>
      </c>
    </row>
    <row r="208">
      <c r="A208" s="37" t="n"/>
      <c r="C208" s="27" t="n"/>
      <c r="D208">
        <f>IF($B208="","",IFERROR(INDEX($D$17:$D$207,MATCH($B208,$B$17:$B$207,0)),""))</f>
        <v/>
      </c>
      <c r="E208">
        <f>IFERROR(INDEX(Dim_Category[CategoryName],MATCH(INDEX(Dim_Vendor[DefaultCategoryID],MATCH($D208,Dim_Vendor[VendorName],0)),Dim_Category[CategoryID],0)),"")</f>
        <v/>
      </c>
      <c r="H208">
        <f>IF($C208="","",IF(SignConvention="Negative = Expense",IF($C208&lt;0,"Expense","Income"),IF($C208&gt;0,"Expense","Income")))</f>
        <v/>
      </c>
      <c r="I208" s="27">
        <f>IF($C208="","",ABS($C208))</f>
        <v/>
      </c>
    </row>
    <row r="209">
      <c r="A209" s="37" t="n"/>
      <c r="C209" s="27" t="n"/>
      <c r="D209">
        <f>IF($B209="","",IFERROR(INDEX($D$17:$D$208,MATCH($B209,$B$17:$B$208,0)),""))</f>
        <v/>
      </c>
      <c r="E209">
        <f>IFERROR(INDEX(Dim_Category[CategoryName],MATCH(INDEX(Dim_Vendor[DefaultCategoryID],MATCH($D209,Dim_Vendor[VendorName],0)),Dim_Category[CategoryID],0)),"")</f>
        <v/>
      </c>
      <c r="H209">
        <f>IF($C209="","",IF(SignConvention="Negative = Expense",IF($C209&lt;0,"Expense","Income"),IF($C209&gt;0,"Expense","Income")))</f>
        <v/>
      </c>
      <c r="I209" s="27">
        <f>IF($C209="","",ABS($C209))</f>
        <v/>
      </c>
    </row>
    <row r="210">
      <c r="A210" s="37" t="n"/>
      <c r="C210" s="27" t="n"/>
      <c r="D210">
        <f>IF($B210="","",IFERROR(INDEX($D$17:$D$209,MATCH($B210,$B$17:$B$209,0)),""))</f>
        <v/>
      </c>
      <c r="E210">
        <f>IFERROR(INDEX(Dim_Category[CategoryName],MATCH(INDEX(Dim_Vendor[DefaultCategoryID],MATCH($D210,Dim_Vendor[VendorName],0)),Dim_Category[CategoryID],0)),"")</f>
        <v/>
      </c>
      <c r="H210">
        <f>IF($C210="","",IF(SignConvention="Negative = Expense",IF($C210&lt;0,"Expense","Income"),IF($C210&gt;0,"Expense","Income")))</f>
        <v/>
      </c>
      <c r="I210" s="27">
        <f>IF($C210="","",ABS($C210))</f>
        <v/>
      </c>
    </row>
    <row r="211">
      <c r="A211" s="37" t="n"/>
      <c r="C211" s="27" t="n"/>
      <c r="D211">
        <f>IF($B211="","",IFERROR(INDEX($D$17:$D$210,MATCH($B211,$B$17:$B$210,0)),""))</f>
        <v/>
      </c>
      <c r="E211">
        <f>IFERROR(INDEX(Dim_Category[CategoryName],MATCH(INDEX(Dim_Vendor[DefaultCategoryID],MATCH($D211,Dim_Vendor[VendorName],0)),Dim_Category[CategoryID],0)),"")</f>
        <v/>
      </c>
      <c r="H211">
        <f>IF($C211="","",IF(SignConvention="Negative = Expense",IF($C211&lt;0,"Expense","Income"),IF($C211&gt;0,"Expense","Income")))</f>
        <v/>
      </c>
      <c r="I211" s="27">
        <f>IF($C211="","",ABS($C211))</f>
        <v/>
      </c>
    </row>
    <row r="212">
      <c r="A212" s="37" t="n"/>
      <c r="C212" s="27" t="n"/>
      <c r="D212">
        <f>IF($B212="","",IFERROR(INDEX($D$17:$D$211,MATCH($B212,$B$17:$B$211,0)),""))</f>
        <v/>
      </c>
      <c r="E212">
        <f>IFERROR(INDEX(Dim_Category[CategoryName],MATCH(INDEX(Dim_Vendor[DefaultCategoryID],MATCH($D212,Dim_Vendor[VendorName],0)),Dim_Category[CategoryID],0)),"")</f>
        <v/>
      </c>
      <c r="H212">
        <f>IF($C212="","",IF(SignConvention="Negative = Expense",IF($C212&lt;0,"Expense","Income"),IF($C212&gt;0,"Expense","Income")))</f>
        <v/>
      </c>
      <c r="I212" s="27">
        <f>IF($C212="","",ABS($C212))</f>
        <v/>
      </c>
    </row>
    <row r="213">
      <c r="A213" s="37" t="n"/>
      <c r="C213" s="27" t="n"/>
      <c r="D213">
        <f>IF($B213="","",IFERROR(INDEX($D$17:$D$212,MATCH($B213,$B$17:$B$212,0)),""))</f>
        <v/>
      </c>
      <c r="E213">
        <f>IFERROR(INDEX(Dim_Category[CategoryName],MATCH(INDEX(Dim_Vendor[DefaultCategoryID],MATCH($D213,Dim_Vendor[VendorName],0)),Dim_Category[CategoryID],0)),"")</f>
        <v/>
      </c>
      <c r="H213">
        <f>IF($C213="","",IF(SignConvention="Negative = Expense",IF($C213&lt;0,"Expense","Income"),IF($C213&gt;0,"Expense","Income")))</f>
        <v/>
      </c>
      <c r="I213" s="27">
        <f>IF($C213="","",ABS($C213))</f>
        <v/>
      </c>
    </row>
    <row r="214">
      <c r="A214" s="37" t="n"/>
      <c r="C214" s="27" t="n"/>
      <c r="D214">
        <f>IF($B214="","",IFERROR(INDEX($D$17:$D$213,MATCH($B214,$B$17:$B$213,0)),""))</f>
        <v/>
      </c>
      <c r="E214">
        <f>IFERROR(INDEX(Dim_Category[CategoryName],MATCH(INDEX(Dim_Vendor[DefaultCategoryID],MATCH($D214,Dim_Vendor[VendorName],0)),Dim_Category[CategoryID],0)),"")</f>
        <v/>
      </c>
      <c r="H214">
        <f>IF($C214="","",IF(SignConvention="Negative = Expense",IF($C214&lt;0,"Expense","Income"),IF($C214&gt;0,"Expense","Income")))</f>
        <v/>
      </c>
      <c r="I214" s="27">
        <f>IF($C214="","",ABS($C214))</f>
        <v/>
      </c>
    </row>
    <row r="215">
      <c r="A215" s="37" t="n"/>
      <c r="C215" s="27" t="n"/>
      <c r="D215">
        <f>IF($B215="","",IFERROR(INDEX($D$17:$D$214,MATCH($B215,$B$17:$B$214,0)),""))</f>
        <v/>
      </c>
      <c r="E215">
        <f>IFERROR(INDEX(Dim_Category[CategoryName],MATCH(INDEX(Dim_Vendor[DefaultCategoryID],MATCH($D215,Dim_Vendor[VendorName],0)),Dim_Category[CategoryID],0)),"")</f>
        <v/>
      </c>
      <c r="H215">
        <f>IF($C215="","",IF(SignConvention="Negative = Expense",IF($C215&lt;0,"Expense","Income"),IF($C215&gt;0,"Expense","Income")))</f>
        <v/>
      </c>
      <c r="I215" s="27">
        <f>IF($C215="","",ABS($C215))</f>
        <v/>
      </c>
    </row>
    <row r="216">
      <c r="A216" s="37" t="n"/>
      <c r="C216" s="27" t="n"/>
      <c r="D216">
        <f>IF($B216="","",IFERROR(INDEX($D$17:$D$215,MATCH($B216,$B$17:$B$215,0)),""))</f>
        <v/>
      </c>
      <c r="E216">
        <f>IFERROR(INDEX(Dim_Category[CategoryName],MATCH(INDEX(Dim_Vendor[DefaultCategoryID],MATCH($D216,Dim_Vendor[VendorName],0)),Dim_Category[CategoryID],0)),"")</f>
        <v/>
      </c>
      <c r="H216">
        <f>IF($C216="","",IF(SignConvention="Negative = Expense",IF($C216&lt;0,"Expense","Income"),IF($C216&gt;0,"Expense","Income")))</f>
        <v/>
      </c>
      <c r="I216" s="27">
        <f>IF($C216="","",ABS($C216))</f>
        <v/>
      </c>
    </row>
    <row r="217">
      <c r="A217" s="37" t="n"/>
      <c r="C217" s="27" t="n"/>
      <c r="D217">
        <f>IF($B217="","",IFERROR(INDEX($D$17:$D$216,MATCH($B217,$B$17:$B$216,0)),""))</f>
        <v/>
      </c>
      <c r="E217">
        <f>IFERROR(INDEX(Dim_Category[CategoryName],MATCH(INDEX(Dim_Vendor[DefaultCategoryID],MATCH($D217,Dim_Vendor[VendorName],0)),Dim_Category[CategoryID],0)),"")</f>
        <v/>
      </c>
      <c r="H217">
        <f>IF($C217="","",IF(SignConvention="Negative = Expense",IF($C217&lt;0,"Expense","Income"),IF($C217&gt;0,"Expense","Income")))</f>
        <v/>
      </c>
      <c r="I217" s="27">
        <f>IF($C217="","",ABS($C217))</f>
        <v/>
      </c>
    </row>
    <row r="218">
      <c r="A218" s="37" t="n"/>
      <c r="C218" s="27" t="n"/>
      <c r="D218">
        <f>IF($B218="","",IFERROR(INDEX($D$17:$D$217,MATCH($B218,$B$17:$B$217,0)),""))</f>
        <v/>
      </c>
      <c r="E218">
        <f>IFERROR(INDEX(Dim_Category[CategoryName],MATCH(INDEX(Dim_Vendor[DefaultCategoryID],MATCH($D218,Dim_Vendor[VendorName],0)),Dim_Category[CategoryID],0)),"")</f>
        <v/>
      </c>
      <c r="H218">
        <f>IF($C218="","",IF(SignConvention="Negative = Expense",IF($C218&lt;0,"Expense","Income"),IF($C218&gt;0,"Expense","Income")))</f>
        <v/>
      </c>
      <c r="I218" s="27">
        <f>IF($C218="","",ABS($C218))</f>
        <v/>
      </c>
    </row>
    <row r="219">
      <c r="A219" s="37" t="n"/>
      <c r="C219" s="27" t="n"/>
      <c r="D219">
        <f>IF($B219="","",IFERROR(INDEX($D$17:$D$218,MATCH($B219,$B$17:$B$218,0)),""))</f>
        <v/>
      </c>
      <c r="E219">
        <f>IFERROR(INDEX(Dim_Category[CategoryName],MATCH(INDEX(Dim_Vendor[DefaultCategoryID],MATCH($D219,Dim_Vendor[VendorName],0)),Dim_Category[CategoryID],0)),"")</f>
        <v/>
      </c>
      <c r="H219">
        <f>IF($C219="","",IF(SignConvention="Negative = Expense",IF($C219&lt;0,"Expense","Income"),IF($C219&gt;0,"Expense","Income")))</f>
        <v/>
      </c>
      <c r="I219" s="27">
        <f>IF($C219="","",ABS($C219))</f>
        <v/>
      </c>
    </row>
    <row r="220">
      <c r="A220" s="37" t="n"/>
      <c r="C220" s="27" t="n"/>
      <c r="D220">
        <f>IF($B220="","",IFERROR(INDEX($D$17:$D$219,MATCH($B220,$B$17:$B$219,0)),""))</f>
        <v/>
      </c>
      <c r="E220">
        <f>IFERROR(INDEX(Dim_Category[CategoryName],MATCH(INDEX(Dim_Vendor[DefaultCategoryID],MATCH($D220,Dim_Vendor[VendorName],0)),Dim_Category[CategoryID],0)),"")</f>
        <v/>
      </c>
      <c r="H220">
        <f>IF($C220="","",IF(SignConvention="Negative = Expense",IF($C220&lt;0,"Expense","Income"),IF($C220&gt;0,"Expense","Income")))</f>
        <v/>
      </c>
      <c r="I220" s="27">
        <f>IF($C220="","",ABS($C220))</f>
        <v/>
      </c>
    </row>
    <row r="221">
      <c r="A221" s="37" t="n"/>
      <c r="C221" s="27" t="n"/>
      <c r="D221">
        <f>IF($B221="","",IFERROR(INDEX($D$17:$D$220,MATCH($B221,$B$17:$B$220,0)),""))</f>
        <v/>
      </c>
      <c r="E221">
        <f>IFERROR(INDEX(Dim_Category[CategoryName],MATCH(INDEX(Dim_Vendor[DefaultCategoryID],MATCH($D221,Dim_Vendor[VendorName],0)),Dim_Category[CategoryID],0)),"")</f>
        <v/>
      </c>
      <c r="H221">
        <f>IF($C221="","",IF(SignConvention="Negative = Expense",IF($C221&lt;0,"Expense","Income"),IF($C221&gt;0,"Expense","Income")))</f>
        <v/>
      </c>
      <c r="I221" s="27">
        <f>IF($C221="","",ABS($C221))</f>
        <v/>
      </c>
    </row>
    <row r="222">
      <c r="A222" s="37" t="n"/>
      <c r="C222" s="27" t="n"/>
      <c r="D222">
        <f>IF($B222="","",IFERROR(INDEX($D$17:$D$221,MATCH($B222,$B$17:$B$221,0)),""))</f>
        <v/>
      </c>
      <c r="E222">
        <f>IFERROR(INDEX(Dim_Category[CategoryName],MATCH(INDEX(Dim_Vendor[DefaultCategoryID],MATCH($D222,Dim_Vendor[VendorName],0)),Dim_Category[CategoryID],0)),"")</f>
        <v/>
      </c>
      <c r="H222">
        <f>IF($C222="","",IF(SignConvention="Negative = Expense",IF($C222&lt;0,"Expense","Income"),IF($C222&gt;0,"Expense","Income")))</f>
        <v/>
      </c>
      <c r="I222" s="27">
        <f>IF($C222="","",ABS($C222))</f>
        <v/>
      </c>
    </row>
    <row r="223">
      <c r="A223" s="37" t="n"/>
      <c r="C223" s="27" t="n"/>
      <c r="D223">
        <f>IF($B223="","",IFERROR(INDEX($D$17:$D$222,MATCH($B223,$B$17:$B$222,0)),""))</f>
        <v/>
      </c>
      <c r="E223">
        <f>IFERROR(INDEX(Dim_Category[CategoryName],MATCH(INDEX(Dim_Vendor[DefaultCategoryID],MATCH($D223,Dim_Vendor[VendorName],0)),Dim_Category[CategoryID],0)),"")</f>
        <v/>
      </c>
      <c r="H223">
        <f>IF($C223="","",IF(SignConvention="Negative = Expense",IF($C223&lt;0,"Expense","Income"),IF($C223&gt;0,"Expense","Income")))</f>
        <v/>
      </c>
      <c r="I223" s="27">
        <f>IF($C223="","",ABS($C223))</f>
        <v/>
      </c>
    </row>
    <row r="224">
      <c r="A224" s="37" t="n"/>
      <c r="C224" s="27" t="n"/>
      <c r="D224">
        <f>IF($B224="","",IFERROR(INDEX($D$17:$D$223,MATCH($B224,$B$17:$B$223,0)),""))</f>
        <v/>
      </c>
      <c r="E224">
        <f>IFERROR(INDEX(Dim_Category[CategoryName],MATCH(INDEX(Dim_Vendor[DefaultCategoryID],MATCH($D224,Dim_Vendor[VendorName],0)),Dim_Category[CategoryID],0)),"")</f>
        <v/>
      </c>
      <c r="H224">
        <f>IF($C224="","",IF(SignConvention="Negative = Expense",IF($C224&lt;0,"Expense","Income"),IF($C224&gt;0,"Expense","Income")))</f>
        <v/>
      </c>
      <c r="I224" s="27">
        <f>IF($C224="","",ABS($C224))</f>
        <v/>
      </c>
    </row>
    <row r="225">
      <c r="A225" s="37" t="n"/>
      <c r="C225" s="27" t="n"/>
      <c r="D225">
        <f>IF($B225="","",IFERROR(INDEX($D$17:$D$224,MATCH($B225,$B$17:$B$224,0)),""))</f>
        <v/>
      </c>
      <c r="E225">
        <f>IFERROR(INDEX(Dim_Category[CategoryName],MATCH(INDEX(Dim_Vendor[DefaultCategoryID],MATCH($D225,Dim_Vendor[VendorName],0)),Dim_Category[CategoryID],0)),"")</f>
        <v/>
      </c>
      <c r="H225">
        <f>IF($C225="","",IF(SignConvention="Negative = Expense",IF($C225&lt;0,"Expense","Income"),IF($C225&gt;0,"Expense","Income")))</f>
        <v/>
      </c>
      <c r="I225" s="27">
        <f>IF($C225="","",ABS($C225))</f>
        <v/>
      </c>
    </row>
    <row r="226">
      <c r="A226" s="37" t="n"/>
      <c r="C226" s="27" t="n"/>
      <c r="D226">
        <f>IF($B226="","",IFERROR(INDEX($D$17:$D$225,MATCH($B226,$B$17:$B$225,0)),""))</f>
        <v/>
      </c>
      <c r="E226">
        <f>IFERROR(INDEX(Dim_Category[CategoryName],MATCH(INDEX(Dim_Vendor[DefaultCategoryID],MATCH($D226,Dim_Vendor[VendorName],0)),Dim_Category[CategoryID],0)),"")</f>
        <v/>
      </c>
      <c r="H226">
        <f>IF($C226="","",IF(SignConvention="Negative = Expense",IF($C226&lt;0,"Expense","Income"),IF($C226&gt;0,"Expense","Income")))</f>
        <v/>
      </c>
      <c r="I226" s="27">
        <f>IF($C226="","",ABS($C226))</f>
        <v/>
      </c>
    </row>
    <row r="227">
      <c r="A227" s="37" t="n"/>
      <c r="C227" s="27" t="n"/>
      <c r="D227">
        <f>IF($B227="","",IFERROR(INDEX($D$17:$D$226,MATCH($B227,$B$17:$B$226,0)),""))</f>
        <v/>
      </c>
      <c r="E227">
        <f>IFERROR(INDEX(Dim_Category[CategoryName],MATCH(INDEX(Dim_Vendor[DefaultCategoryID],MATCH($D227,Dim_Vendor[VendorName],0)),Dim_Category[CategoryID],0)),"")</f>
        <v/>
      </c>
      <c r="H227">
        <f>IF($C227="","",IF(SignConvention="Negative = Expense",IF($C227&lt;0,"Expense","Income"),IF($C227&gt;0,"Expense","Income")))</f>
        <v/>
      </c>
      <c r="I227" s="27">
        <f>IF($C227="","",ABS($C227))</f>
        <v/>
      </c>
    </row>
    <row r="228">
      <c r="A228" s="37" t="n"/>
      <c r="C228" s="27" t="n"/>
      <c r="D228">
        <f>IF($B228="","",IFERROR(INDEX($D$17:$D$227,MATCH($B228,$B$17:$B$227,0)),""))</f>
        <v/>
      </c>
      <c r="E228">
        <f>IFERROR(INDEX(Dim_Category[CategoryName],MATCH(INDEX(Dim_Vendor[DefaultCategoryID],MATCH($D228,Dim_Vendor[VendorName],0)),Dim_Category[CategoryID],0)),"")</f>
        <v/>
      </c>
      <c r="H228">
        <f>IF($C228="","",IF(SignConvention="Negative = Expense",IF($C228&lt;0,"Expense","Income"),IF($C228&gt;0,"Expense","Income")))</f>
        <v/>
      </c>
      <c r="I228" s="27">
        <f>IF($C228="","",ABS($C228))</f>
        <v/>
      </c>
    </row>
    <row r="229">
      <c r="A229" s="37" t="n"/>
      <c r="C229" s="27" t="n"/>
      <c r="D229">
        <f>IF($B229="","",IFERROR(INDEX($D$17:$D$228,MATCH($B229,$B$17:$B$228,0)),""))</f>
        <v/>
      </c>
      <c r="E229">
        <f>IFERROR(INDEX(Dim_Category[CategoryName],MATCH(INDEX(Dim_Vendor[DefaultCategoryID],MATCH($D229,Dim_Vendor[VendorName],0)),Dim_Category[CategoryID],0)),"")</f>
        <v/>
      </c>
      <c r="H229">
        <f>IF($C229="","",IF(SignConvention="Negative = Expense",IF($C229&lt;0,"Expense","Income"),IF($C229&gt;0,"Expense","Income")))</f>
        <v/>
      </c>
      <c r="I229" s="27">
        <f>IF($C229="","",ABS($C229))</f>
        <v/>
      </c>
    </row>
    <row r="230">
      <c r="A230" s="37" t="n"/>
      <c r="C230" s="27" t="n"/>
      <c r="D230">
        <f>IF($B230="","",IFERROR(INDEX($D$17:$D$229,MATCH($B230,$B$17:$B$229,0)),""))</f>
        <v/>
      </c>
      <c r="E230">
        <f>IFERROR(INDEX(Dim_Category[CategoryName],MATCH(INDEX(Dim_Vendor[DefaultCategoryID],MATCH($D230,Dim_Vendor[VendorName],0)),Dim_Category[CategoryID],0)),"")</f>
        <v/>
      </c>
      <c r="H230">
        <f>IF($C230="","",IF(SignConvention="Negative = Expense",IF($C230&lt;0,"Expense","Income"),IF($C230&gt;0,"Expense","Income")))</f>
        <v/>
      </c>
      <c r="I230" s="27">
        <f>IF($C230="","",ABS($C230))</f>
        <v/>
      </c>
    </row>
    <row r="231">
      <c r="A231" s="37" t="n"/>
      <c r="C231" s="27" t="n"/>
      <c r="D231">
        <f>IF($B231="","",IFERROR(INDEX($D$17:$D$230,MATCH($B231,$B$17:$B$230,0)),""))</f>
        <v/>
      </c>
      <c r="E231">
        <f>IFERROR(INDEX(Dim_Category[CategoryName],MATCH(INDEX(Dim_Vendor[DefaultCategoryID],MATCH($D231,Dim_Vendor[VendorName],0)),Dim_Category[CategoryID],0)),"")</f>
        <v/>
      </c>
      <c r="H231">
        <f>IF($C231="","",IF(SignConvention="Negative = Expense",IF($C231&lt;0,"Expense","Income"),IF($C231&gt;0,"Expense","Income")))</f>
        <v/>
      </c>
      <c r="I231" s="27">
        <f>IF($C231="","",ABS($C231))</f>
        <v/>
      </c>
    </row>
    <row r="232">
      <c r="A232" s="37" t="n"/>
      <c r="C232" s="27" t="n"/>
      <c r="D232">
        <f>IF($B232="","",IFERROR(INDEX($D$17:$D$231,MATCH($B232,$B$17:$B$231,0)),""))</f>
        <v/>
      </c>
      <c r="E232">
        <f>IFERROR(INDEX(Dim_Category[CategoryName],MATCH(INDEX(Dim_Vendor[DefaultCategoryID],MATCH($D232,Dim_Vendor[VendorName],0)),Dim_Category[CategoryID],0)),"")</f>
        <v/>
      </c>
      <c r="H232">
        <f>IF($C232="","",IF(SignConvention="Negative = Expense",IF($C232&lt;0,"Expense","Income"),IF($C232&gt;0,"Expense","Income")))</f>
        <v/>
      </c>
      <c r="I232" s="27">
        <f>IF($C232="","",ABS($C232))</f>
        <v/>
      </c>
    </row>
    <row r="233">
      <c r="A233" s="37" t="n"/>
      <c r="C233" s="27" t="n"/>
      <c r="D233">
        <f>IF($B233="","",IFERROR(INDEX($D$17:$D$232,MATCH($B233,$B$17:$B$232,0)),""))</f>
        <v/>
      </c>
      <c r="E233">
        <f>IFERROR(INDEX(Dim_Category[CategoryName],MATCH(INDEX(Dim_Vendor[DefaultCategoryID],MATCH($D233,Dim_Vendor[VendorName],0)),Dim_Category[CategoryID],0)),"")</f>
        <v/>
      </c>
      <c r="H233">
        <f>IF($C233="","",IF(SignConvention="Negative = Expense",IF($C233&lt;0,"Expense","Income"),IF($C233&gt;0,"Expense","Income")))</f>
        <v/>
      </c>
      <c r="I233" s="27">
        <f>IF($C233="","",ABS($C233))</f>
        <v/>
      </c>
    </row>
    <row r="234">
      <c r="A234" s="37" t="n"/>
      <c r="C234" s="27" t="n"/>
      <c r="D234">
        <f>IF($B234="","",IFERROR(INDEX($D$17:$D$233,MATCH($B234,$B$17:$B$233,0)),""))</f>
        <v/>
      </c>
      <c r="E234">
        <f>IFERROR(INDEX(Dim_Category[CategoryName],MATCH(INDEX(Dim_Vendor[DefaultCategoryID],MATCH($D234,Dim_Vendor[VendorName],0)),Dim_Category[CategoryID],0)),"")</f>
        <v/>
      </c>
      <c r="H234">
        <f>IF($C234="","",IF(SignConvention="Negative = Expense",IF($C234&lt;0,"Expense","Income"),IF($C234&gt;0,"Expense","Income")))</f>
        <v/>
      </c>
      <c r="I234" s="27">
        <f>IF($C234="","",ABS($C234))</f>
        <v/>
      </c>
    </row>
    <row r="235">
      <c r="A235" s="37" t="n"/>
      <c r="C235" s="27" t="n"/>
      <c r="D235">
        <f>IF($B235="","",IFERROR(INDEX($D$17:$D$234,MATCH($B235,$B$17:$B$234,0)),""))</f>
        <v/>
      </c>
      <c r="E235">
        <f>IFERROR(INDEX(Dim_Category[CategoryName],MATCH(INDEX(Dim_Vendor[DefaultCategoryID],MATCH($D235,Dim_Vendor[VendorName],0)),Dim_Category[CategoryID],0)),"")</f>
        <v/>
      </c>
      <c r="H235">
        <f>IF($C235="","",IF(SignConvention="Negative = Expense",IF($C235&lt;0,"Expense","Income"),IF($C235&gt;0,"Expense","Income")))</f>
        <v/>
      </c>
      <c r="I235" s="27">
        <f>IF($C235="","",ABS($C235))</f>
        <v/>
      </c>
    </row>
    <row r="236">
      <c r="A236" s="37" t="n"/>
      <c r="C236" s="27" t="n"/>
      <c r="D236">
        <f>IF($B236="","",IFERROR(INDEX($D$17:$D$235,MATCH($B236,$B$17:$B$235,0)),""))</f>
        <v/>
      </c>
      <c r="E236">
        <f>IFERROR(INDEX(Dim_Category[CategoryName],MATCH(INDEX(Dim_Vendor[DefaultCategoryID],MATCH($D236,Dim_Vendor[VendorName],0)),Dim_Category[CategoryID],0)),"")</f>
        <v/>
      </c>
      <c r="H236">
        <f>IF($C236="","",IF(SignConvention="Negative = Expense",IF($C236&lt;0,"Expense","Income"),IF($C236&gt;0,"Expense","Income")))</f>
        <v/>
      </c>
      <c r="I236" s="27">
        <f>IF($C236="","",ABS($C236))</f>
        <v/>
      </c>
    </row>
    <row r="237">
      <c r="A237" s="37" t="n"/>
      <c r="C237" s="27" t="n"/>
      <c r="D237">
        <f>IF($B237="","",IFERROR(INDEX($D$17:$D$236,MATCH($B237,$B$17:$B$236,0)),""))</f>
        <v/>
      </c>
      <c r="E237">
        <f>IFERROR(INDEX(Dim_Category[CategoryName],MATCH(INDEX(Dim_Vendor[DefaultCategoryID],MATCH($D237,Dim_Vendor[VendorName],0)),Dim_Category[CategoryID],0)),"")</f>
        <v/>
      </c>
      <c r="H237">
        <f>IF($C237="","",IF(SignConvention="Negative = Expense",IF($C237&lt;0,"Expense","Income"),IF($C237&gt;0,"Expense","Income")))</f>
        <v/>
      </c>
      <c r="I237" s="27">
        <f>IF($C237="","",ABS($C237))</f>
        <v/>
      </c>
    </row>
    <row r="238">
      <c r="A238" s="37" t="n"/>
      <c r="C238" s="27" t="n"/>
      <c r="D238">
        <f>IF($B238="","",IFERROR(INDEX($D$17:$D$237,MATCH($B238,$B$17:$B$237,0)),""))</f>
        <v/>
      </c>
      <c r="E238">
        <f>IFERROR(INDEX(Dim_Category[CategoryName],MATCH(INDEX(Dim_Vendor[DefaultCategoryID],MATCH($D238,Dim_Vendor[VendorName],0)),Dim_Category[CategoryID],0)),"")</f>
        <v/>
      </c>
      <c r="H238">
        <f>IF($C238="","",IF(SignConvention="Negative = Expense",IF($C238&lt;0,"Expense","Income"),IF($C238&gt;0,"Expense","Income")))</f>
        <v/>
      </c>
      <c r="I238" s="27">
        <f>IF($C238="","",ABS($C238))</f>
        <v/>
      </c>
    </row>
    <row r="239">
      <c r="A239" s="37" t="n"/>
      <c r="C239" s="27" t="n"/>
      <c r="D239">
        <f>IF($B239="","",IFERROR(INDEX($D$17:$D$238,MATCH($B239,$B$17:$B$238,0)),""))</f>
        <v/>
      </c>
      <c r="E239">
        <f>IFERROR(INDEX(Dim_Category[CategoryName],MATCH(INDEX(Dim_Vendor[DefaultCategoryID],MATCH($D239,Dim_Vendor[VendorName],0)),Dim_Category[CategoryID],0)),"")</f>
        <v/>
      </c>
      <c r="H239">
        <f>IF($C239="","",IF(SignConvention="Negative = Expense",IF($C239&lt;0,"Expense","Income"),IF($C239&gt;0,"Expense","Income")))</f>
        <v/>
      </c>
      <c r="I239" s="27">
        <f>IF($C239="","",ABS($C239))</f>
        <v/>
      </c>
    </row>
    <row r="240">
      <c r="A240" s="37" t="n"/>
      <c r="C240" s="27" t="n"/>
      <c r="D240">
        <f>IF($B240="","",IFERROR(INDEX($D$17:$D$239,MATCH($B240,$B$17:$B$239,0)),""))</f>
        <v/>
      </c>
      <c r="E240">
        <f>IFERROR(INDEX(Dim_Category[CategoryName],MATCH(INDEX(Dim_Vendor[DefaultCategoryID],MATCH($D240,Dim_Vendor[VendorName],0)),Dim_Category[CategoryID],0)),"")</f>
        <v/>
      </c>
      <c r="H240">
        <f>IF($C240="","",IF(SignConvention="Negative = Expense",IF($C240&lt;0,"Expense","Income"),IF($C240&gt;0,"Expense","Income")))</f>
        <v/>
      </c>
      <c r="I240" s="27">
        <f>IF($C240="","",ABS($C240))</f>
        <v/>
      </c>
    </row>
    <row r="241">
      <c r="A241" s="37" t="n"/>
      <c r="C241" s="27" t="n"/>
      <c r="D241">
        <f>IF($B241="","",IFERROR(INDEX($D$17:$D$240,MATCH($B241,$B$17:$B$240,0)),""))</f>
        <v/>
      </c>
      <c r="E241">
        <f>IFERROR(INDEX(Dim_Category[CategoryName],MATCH(INDEX(Dim_Vendor[DefaultCategoryID],MATCH($D241,Dim_Vendor[VendorName],0)),Dim_Category[CategoryID],0)),"")</f>
        <v/>
      </c>
      <c r="H241">
        <f>IF($C241="","",IF(SignConvention="Negative = Expense",IF($C241&lt;0,"Expense","Income"),IF($C241&gt;0,"Expense","Income")))</f>
        <v/>
      </c>
      <c r="I241" s="27">
        <f>IF($C241="","",ABS($C241))</f>
        <v/>
      </c>
    </row>
    <row r="242">
      <c r="A242" s="37" t="n"/>
      <c r="C242" s="27" t="n"/>
      <c r="D242">
        <f>IF($B242="","",IFERROR(INDEX($D$17:$D$241,MATCH($B242,$B$17:$B$241,0)),""))</f>
        <v/>
      </c>
      <c r="E242">
        <f>IFERROR(INDEX(Dim_Category[CategoryName],MATCH(INDEX(Dim_Vendor[DefaultCategoryID],MATCH($D242,Dim_Vendor[VendorName],0)),Dim_Category[CategoryID],0)),"")</f>
        <v/>
      </c>
      <c r="H242">
        <f>IF($C242="","",IF(SignConvention="Negative = Expense",IF($C242&lt;0,"Expense","Income"),IF($C242&gt;0,"Expense","Income")))</f>
        <v/>
      </c>
      <c r="I242" s="27">
        <f>IF($C242="","",ABS($C242))</f>
        <v/>
      </c>
    </row>
    <row r="243">
      <c r="A243" s="37" t="n"/>
      <c r="C243" s="27" t="n"/>
      <c r="D243">
        <f>IF($B243="","",IFERROR(INDEX($D$17:$D$242,MATCH($B243,$B$17:$B$242,0)),""))</f>
        <v/>
      </c>
      <c r="E243">
        <f>IFERROR(INDEX(Dim_Category[CategoryName],MATCH(INDEX(Dim_Vendor[DefaultCategoryID],MATCH($D243,Dim_Vendor[VendorName],0)),Dim_Category[CategoryID],0)),"")</f>
        <v/>
      </c>
      <c r="H243">
        <f>IF($C243="","",IF(SignConvention="Negative = Expense",IF($C243&lt;0,"Expense","Income"),IF($C243&gt;0,"Expense","Income")))</f>
        <v/>
      </c>
      <c r="I243" s="27">
        <f>IF($C243="","",ABS($C243))</f>
        <v/>
      </c>
    </row>
    <row r="244">
      <c r="A244" s="37" t="n"/>
      <c r="C244" s="27" t="n"/>
      <c r="D244">
        <f>IF($B244="","",IFERROR(INDEX($D$17:$D$243,MATCH($B244,$B$17:$B$243,0)),""))</f>
        <v/>
      </c>
      <c r="E244">
        <f>IFERROR(INDEX(Dim_Category[CategoryName],MATCH(INDEX(Dim_Vendor[DefaultCategoryID],MATCH($D244,Dim_Vendor[VendorName],0)),Dim_Category[CategoryID],0)),"")</f>
        <v/>
      </c>
      <c r="H244">
        <f>IF($C244="","",IF(SignConvention="Negative = Expense",IF($C244&lt;0,"Expense","Income"),IF($C244&gt;0,"Expense","Income")))</f>
        <v/>
      </c>
      <c r="I244" s="27">
        <f>IF($C244="","",ABS($C244))</f>
        <v/>
      </c>
    </row>
    <row r="245">
      <c r="A245" s="37" t="n"/>
      <c r="C245" s="27" t="n"/>
      <c r="D245">
        <f>IF($B245="","",IFERROR(INDEX($D$17:$D$244,MATCH($B245,$B$17:$B$244,0)),""))</f>
        <v/>
      </c>
      <c r="E245">
        <f>IFERROR(INDEX(Dim_Category[CategoryName],MATCH(INDEX(Dim_Vendor[DefaultCategoryID],MATCH($D245,Dim_Vendor[VendorName],0)),Dim_Category[CategoryID],0)),"")</f>
        <v/>
      </c>
      <c r="H245">
        <f>IF($C245="","",IF(SignConvention="Negative = Expense",IF($C245&lt;0,"Expense","Income"),IF($C245&gt;0,"Expense","Income")))</f>
        <v/>
      </c>
      <c r="I245" s="27">
        <f>IF($C245="","",ABS($C245))</f>
        <v/>
      </c>
    </row>
    <row r="246">
      <c r="A246" s="37" t="n"/>
      <c r="C246" s="27" t="n"/>
      <c r="D246">
        <f>IF($B246="","",IFERROR(INDEX($D$17:$D$245,MATCH($B246,$B$17:$B$245,0)),""))</f>
        <v/>
      </c>
      <c r="E246">
        <f>IFERROR(INDEX(Dim_Category[CategoryName],MATCH(INDEX(Dim_Vendor[DefaultCategoryID],MATCH($D246,Dim_Vendor[VendorName],0)),Dim_Category[CategoryID],0)),"")</f>
        <v/>
      </c>
      <c r="H246">
        <f>IF($C246="","",IF(SignConvention="Negative = Expense",IF($C246&lt;0,"Expense","Income"),IF($C246&gt;0,"Expense","Income")))</f>
        <v/>
      </c>
      <c r="I246" s="27">
        <f>IF($C246="","",ABS($C246))</f>
        <v/>
      </c>
    </row>
    <row r="247">
      <c r="A247" s="37" t="n"/>
      <c r="C247" s="27" t="n"/>
      <c r="D247">
        <f>IF($B247="","",IFERROR(INDEX($D$17:$D$246,MATCH($B247,$B$17:$B$246,0)),""))</f>
        <v/>
      </c>
      <c r="E247">
        <f>IFERROR(INDEX(Dim_Category[CategoryName],MATCH(INDEX(Dim_Vendor[DefaultCategoryID],MATCH($D247,Dim_Vendor[VendorName],0)),Dim_Category[CategoryID],0)),"")</f>
        <v/>
      </c>
      <c r="H247">
        <f>IF($C247="","",IF(SignConvention="Negative = Expense",IF($C247&lt;0,"Expense","Income"),IF($C247&gt;0,"Expense","Income")))</f>
        <v/>
      </c>
      <c r="I247" s="27">
        <f>IF($C247="","",ABS($C247))</f>
        <v/>
      </c>
    </row>
    <row r="248">
      <c r="A248" s="37" t="n"/>
      <c r="C248" s="27" t="n"/>
      <c r="D248">
        <f>IF($B248="","",IFERROR(INDEX($D$17:$D$247,MATCH($B248,$B$17:$B$247,0)),""))</f>
        <v/>
      </c>
      <c r="E248">
        <f>IFERROR(INDEX(Dim_Category[CategoryName],MATCH(INDEX(Dim_Vendor[DefaultCategoryID],MATCH($D248,Dim_Vendor[VendorName],0)),Dim_Category[CategoryID],0)),"")</f>
        <v/>
      </c>
      <c r="H248">
        <f>IF($C248="","",IF(SignConvention="Negative = Expense",IF($C248&lt;0,"Expense","Income"),IF($C248&gt;0,"Expense","Income")))</f>
        <v/>
      </c>
      <c r="I248" s="27">
        <f>IF($C248="","",ABS($C248))</f>
        <v/>
      </c>
    </row>
    <row r="249">
      <c r="A249" s="37" t="n"/>
      <c r="C249" s="27" t="n"/>
      <c r="D249">
        <f>IF($B249="","",IFERROR(INDEX($D$17:$D$248,MATCH($B249,$B$17:$B$248,0)),""))</f>
        <v/>
      </c>
      <c r="E249">
        <f>IFERROR(INDEX(Dim_Category[CategoryName],MATCH(INDEX(Dim_Vendor[DefaultCategoryID],MATCH($D249,Dim_Vendor[VendorName],0)),Dim_Category[CategoryID],0)),"")</f>
        <v/>
      </c>
      <c r="H249">
        <f>IF($C249="","",IF(SignConvention="Negative = Expense",IF($C249&lt;0,"Expense","Income"),IF($C249&gt;0,"Expense","Income")))</f>
        <v/>
      </c>
      <c r="I249" s="27">
        <f>IF($C249="","",ABS($C249))</f>
        <v/>
      </c>
    </row>
    <row r="250">
      <c r="A250" s="37" t="n"/>
      <c r="C250" s="27" t="n"/>
      <c r="D250">
        <f>IF($B250="","",IFERROR(INDEX($D$17:$D$249,MATCH($B250,$B$17:$B$249,0)),""))</f>
        <v/>
      </c>
      <c r="E250">
        <f>IFERROR(INDEX(Dim_Category[CategoryName],MATCH(INDEX(Dim_Vendor[DefaultCategoryID],MATCH($D250,Dim_Vendor[VendorName],0)),Dim_Category[CategoryID],0)),"")</f>
        <v/>
      </c>
      <c r="H250">
        <f>IF($C250="","",IF(SignConvention="Negative = Expense",IF($C250&lt;0,"Expense","Income"),IF($C250&gt;0,"Expense","Income")))</f>
        <v/>
      </c>
      <c r="I250" s="27">
        <f>IF($C250="","",ABS($C250))</f>
        <v/>
      </c>
    </row>
    <row r="251">
      <c r="A251" s="37" t="n"/>
      <c r="C251" s="27" t="n"/>
      <c r="D251">
        <f>IF($B251="","",IFERROR(INDEX($D$17:$D$250,MATCH($B251,$B$17:$B$250,0)),""))</f>
        <v/>
      </c>
      <c r="E251">
        <f>IFERROR(INDEX(Dim_Category[CategoryName],MATCH(INDEX(Dim_Vendor[DefaultCategoryID],MATCH($D251,Dim_Vendor[VendorName],0)),Dim_Category[CategoryID],0)),"")</f>
        <v/>
      </c>
      <c r="H251">
        <f>IF($C251="","",IF(SignConvention="Negative = Expense",IF($C251&lt;0,"Expense","Income"),IF($C251&gt;0,"Expense","Income")))</f>
        <v/>
      </c>
      <c r="I251" s="27">
        <f>IF($C251="","",ABS($C251))</f>
        <v/>
      </c>
    </row>
    <row r="252">
      <c r="A252" s="37" t="n"/>
      <c r="C252" s="27" t="n"/>
      <c r="D252">
        <f>IF($B252="","",IFERROR(INDEX($D$17:$D$251,MATCH($B252,$B$17:$B$251,0)),""))</f>
        <v/>
      </c>
      <c r="E252">
        <f>IFERROR(INDEX(Dim_Category[CategoryName],MATCH(INDEX(Dim_Vendor[DefaultCategoryID],MATCH($D252,Dim_Vendor[VendorName],0)),Dim_Category[CategoryID],0)),"")</f>
        <v/>
      </c>
      <c r="H252">
        <f>IF($C252="","",IF(SignConvention="Negative = Expense",IF($C252&lt;0,"Expense","Income"),IF($C252&gt;0,"Expense","Income")))</f>
        <v/>
      </c>
      <c r="I252" s="27">
        <f>IF($C252="","",ABS($C252))</f>
        <v/>
      </c>
    </row>
    <row r="253">
      <c r="A253" s="37" t="n"/>
      <c r="C253" s="27" t="n"/>
      <c r="D253">
        <f>IF($B253="","",IFERROR(INDEX($D$17:$D$252,MATCH($B253,$B$17:$B$252,0)),""))</f>
        <v/>
      </c>
      <c r="E253">
        <f>IFERROR(INDEX(Dim_Category[CategoryName],MATCH(INDEX(Dim_Vendor[DefaultCategoryID],MATCH($D253,Dim_Vendor[VendorName],0)),Dim_Category[CategoryID],0)),"")</f>
        <v/>
      </c>
      <c r="H253">
        <f>IF($C253="","",IF(SignConvention="Negative = Expense",IF($C253&lt;0,"Expense","Income"),IF($C253&gt;0,"Expense","Income")))</f>
        <v/>
      </c>
      <c r="I253" s="27">
        <f>IF($C253="","",ABS($C253))</f>
        <v/>
      </c>
    </row>
    <row r="254">
      <c r="A254" s="37" t="n"/>
      <c r="C254" s="27" t="n"/>
      <c r="D254">
        <f>IF($B254="","",IFERROR(INDEX($D$17:$D$253,MATCH($B254,$B$17:$B$253,0)),""))</f>
        <v/>
      </c>
      <c r="E254">
        <f>IFERROR(INDEX(Dim_Category[CategoryName],MATCH(INDEX(Dim_Vendor[DefaultCategoryID],MATCH($D254,Dim_Vendor[VendorName],0)),Dim_Category[CategoryID],0)),"")</f>
        <v/>
      </c>
      <c r="H254">
        <f>IF($C254="","",IF(SignConvention="Negative = Expense",IF($C254&lt;0,"Expense","Income"),IF($C254&gt;0,"Expense","Income")))</f>
        <v/>
      </c>
      <c r="I254" s="27">
        <f>IF($C254="","",ABS($C254))</f>
        <v/>
      </c>
    </row>
    <row r="255">
      <c r="A255" s="37" t="n"/>
      <c r="C255" s="27" t="n"/>
      <c r="D255">
        <f>IF($B255="","",IFERROR(INDEX($D$17:$D$254,MATCH($B255,$B$17:$B$254,0)),""))</f>
        <v/>
      </c>
      <c r="E255">
        <f>IFERROR(INDEX(Dim_Category[CategoryName],MATCH(INDEX(Dim_Vendor[DefaultCategoryID],MATCH($D255,Dim_Vendor[VendorName],0)),Dim_Category[CategoryID],0)),"")</f>
        <v/>
      </c>
      <c r="H255">
        <f>IF($C255="","",IF(SignConvention="Negative = Expense",IF($C255&lt;0,"Expense","Income"),IF($C255&gt;0,"Expense","Income")))</f>
        <v/>
      </c>
      <c r="I255" s="27">
        <f>IF($C255="","",ABS($C255))</f>
        <v/>
      </c>
    </row>
    <row r="256">
      <c r="A256" s="37" t="n"/>
      <c r="C256" s="27" t="n"/>
      <c r="D256">
        <f>IF($B256="","",IFERROR(INDEX($D$17:$D$255,MATCH($B256,$B$17:$B$255,0)),""))</f>
        <v/>
      </c>
      <c r="E256">
        <f>IFERROR(INDEX(Dim_Category[CategoryName],MATCH(INDEX(Dim_Vendor[DefaultCategoryID],MATCH($D256,Dim_Vendor[VendorName],0)),Dim_Category[CategoryID],0)),"")</f>
        <v/>
      </c>
      <c r="H256">
        <f>IF($C256="","",IF(SignConvention="Negative = Expense",IF($C256&lt;0,"Expense","Income"),IF($C256&gt;0,"Expense","Income")))</f>
        <v/>
      </c>
      <c r="I256" s="27">
        <f>IF($C256="","",ABS($C256))</f>
        <v/>
      </c>
    </row>
    <row r="257">
      <c r="A257" s="37" t="n"/>
      <c r="C257" s="27" t="n"/>
      <c r="D257">
        <f>IF($B257="","",IFERROR(INDEX($D$17:$D$256,MATCH($B257,$B$17:$B$256,0)),""))</f>
        <v/>
      </c>
      <c r="E257">
        <f>IFERROR(INDEX(Dim_Category[CategoryName],MATCH(INDEX(Dim_Vendor[DefaultCategoryID],MATCH($D257,Dim_Vendor[VendorName],0)),Dim_Category[CategoryID],0)),"")</f>
        <v/>
      </c>
      <c r="H257">
        <f>IF($C257="","",IF(SignConvention="Negative = Expense",IF($C257&lt;0,"Expense","Income"),IF($C257&gt;0,"Expense","Income")))</f>
        <v/>
      </c>
      <c r="I257" s="27">
        <f>IF($C257="","",ABS($C257))</f>
        <v/>
      </c>
    </row>
    <row r="258">
      <c r="A258" s="37" t="n"/>
      <c r="C258" s="27" t="n"/>
      <c r="D258">
        <f>IF($B258="","",IFERROR(INDEX($D$17:$D$257,MATCH($B258,$B$17:$B$257,0)),""))</f>
        <v/>
      </c>
      <c r="E258">
        <f>IFERROR(INDEX(Dim_Category[CategoryName],MATCH(INDEX(Dim_Vendor[DefaultCategoryID],MATCH($D258,Dim_Vendor[VendorName],0)),Dim_Category[CategoryID],0)),"")</f>
        <v/>
      </c>
      <c r="H258">
        <f>IF($C258="","",IF(SignConvention="Negative = Expense",IF($C258&lt;0,"Expense","Income"),IF($C258&gt;0,"Expense","Income")))</f>
        <v/>
      </c>
      <c r="I258" s="27">
        <f>IF($C258="","",ABS($C258))</f>
        <v/>
      </c>
    </row>
    <row r="259">
      <c r="A259" s="37" t="n"/>
      <c r="C259" s="27" t="n"/>
      <c r="D259">
        <f>IF($B259="","",IFERROR(INDEX($D$17:$D$258,MATCH($B259,$B$17:$B$258,0)),""))</f>
        <v/>
      </c>
      <c r="E259">
        <f>IFERROR(INDEX(Dim_Category[CategoryName],MATCH(INDEX(Dim_Vendor[DefaultCategoryID],MATCH($D259,Dim_Vendor[VendorName],0)),Dim_Category[CategoryID],0)),"")</f>
        <v/>
      </c>
      <c r="H259">
        <f>IF($C259="","",IF(SignConvention="Negative = Expense",IF($C259&lt;0,"Expense","Income"),IF($C259&gt;0,"Expense","Income")))</f>
        <v/>
      </c>
      <c r="I259" s="27">
        <f>IF($C259="","",ABS($C259))</f>
        <v/>
      </c>
    </row>
    <row r="260">
      <c r="A260" s="37" t="n"/>
      <c r="C260" s="27" t="n"/>
      <c r="D260">
        <f>IF($B260="","",IFERROR(INDEX($D$17:$D$259,MATCH($B260,$B$17:$B$259,0)),""))</f>
        <v/>
      </c>
      <c r="E260">
        <f>IFERROR(INDEX(Dim_Category[CategoryName],MATCH(INDEX(Dim_Vendor[DefaultCategoryID],MATCH($D260,Dim_Vendor[VendorName],0)),Dim_Category[CategoryID],0)),"")</f>
        <v/>
      </c>
      <c r="H260">
        <f>IF($C260="","",IF(SignConvention="Negative = Expense",IF($C260&lt;0,"Expense","Income"),IF($C260&gt;0,"Expense","Income")))</f>
        <v/>
      </c>
      <c r="I260" s="27">
        <f>IF($C260="","",ABS($C260))</f>
        <v/>
      </c>
    </row>
    <row r="261">
      <c r="A261" s="37" t="n"/>
      <c r="C261" s="27" t="n"/>
      <c r="D261">
        <f>IF($B261="","",IFERROR(INDEX($D$17:$D$260,MATCH($B261,$B$17:$B$260,0)),""))</f>
        <v/>
      </c>
      <c r="E261">
        <f>IFERROR(INDEX(Dim_Category[CategoryName],MATCH(INDEX(Dim_Vendor[DefaultCategoryID],MATCH($D261,Dim_Vendor[VendorName],0)),Dim_Category[CategoryID],0)),"")</f>
        <v/>
      </c>
      <c r="H261">
        <f>IF($C261="","",IF(SignConvention="Negative = Expense",IF($C261&lt;0,"Expense","Income"),IF($C261&gt;0,"Expense","Income")))</f>
        <v/>
      </c>
      <c r="I261" s="27">
        <f>IF($C261="","",ABS($C261))</f>
        <v/>
      </c>
    </row>
    <row r="262">
      <c r="A262" s="37" t="n"/>
      <c r="C262" s="27" t="n"/>
      <c r="D262">
        <f>IF($B262="","",IFERROR(INDEX($D$17:$D$261,MATCH($B262,$B$17:$B$261,0)),""))</f>
        <v/>
      </c>
      <c r="E262">
        <f>IFERROR(INDEX(Dim_Category[CategoryName],MATCH(INDEX(Dim_Vendor[DefaultCategoryID],MATCH($D262,Dim_Vendor[VendorName],0)),Dim_Category[CategoryID],0)),"")</f>
        <v/>
      </c>
      <c r="H262">
        <f>IF($C262="","",IF(SignConvention="Negative = Expense",IF($C262&lt;0,"Expense","Income"),IF($C262&gt;0,"Expense","Income")))</f>
        <v/>
      </c>
      <c r="I262" s="27">
        <f>IF($C262="","",ABS($C262))</f>
        <v/>
      </c>
    </row>
    <row r="263">
      <c r="A263" s="37" t="n"/>
      <c r="C263" s="27" t="n"/>
      <c r="D263">
        <f>IF($B263="","",IFERROR(INDEX($D$17:$D$262,MATCH($B263,$B$17:$B$262,0)),""))</f>
        <v/>
      </c>
      <c r="E263">
        <f>IFERROR(INDEX(Dim_Category[CategoryName],MATCH(INDEX(Dim_Vendor[DefaultCategoryID],MATCH($D263,Dim_Vendor[VendorName],0)),Dim_Category[CategoryID],0)),"")</f>
        <v/>
      </c>
      <c r="H263">
        <f>IF($C263="","",IF(SignConvention="Negative = Expense",IF($C263&lt;0,"Expense","Income"),IF($C263&gt;0,"Expense","Income")))</f>
        <v/>
      </c>
      <c r="I263" s="27">
        <f>IF($C263="","",ABS($C263))</f>
        <v/>
      </c>
    </row>
    <row r="264">
      <c r="A264" s="37" t="n"/>
      <c r="C264" s="27" t="n"/>
      <c r="D264">
        <f>IF($B264="","",IFERROR(INDEX($D$17:$D$263,MATCH($B264,$B$17:$B$263,0)),""))</f>
        <v/>
      </c>
      <c r="E264">
        <f>IFERROR(INDEX(Dim_Category[CategoryName],MATCH(INDEX(Dim_Vendor[DefaultCategoryID],MATCH($D264,Dim_Vendor[VendorName],0)),Dim_Category[CategoryID],0)),"")</f>
        <v/>
      </c>
      <c r="H264">
        <f>IF($C264="","",IF(SignConvention="Negative = Expense",IF($C264&lt;0,"Expense","Income"),IF($C264&gt;0,"Expense","Income")))</f>
        <v/>
      </c>
      <c r="I264" s="27">
        <f>IF($C264="","",ABS($C264))</f>
        <v/>
      </c>
    </row>
    <row r="265">
      <c r="A265" s="37" t="n"/>
      <c r="C265" s="27" t="n"/>
      <c r="D265">
        <f>IF($B265="","",IFERROR(INDEX($D$17:$D$264,MATCH($B265,$B$17:$B$264,0)),""))</f>
        <v/>
      </c>
      <c r="E265">
        <f>IFERROR(INDEX(Dim_Category[CategoryName],MATCH(INDEX(Dim_Vendor[DefaultCategoryID],MATCH($D265,Dim_Vendor[VendorName],0)),Dim_Category[CategoryID],0)),"")</f>
        <v/>
      </c>
      <c r="H265">
        <f>IF($C265="","",IF(SignConvention="Negative = Expense",IF($C265&lt;0,"Expense","Income"),IF($C265&gt;0,"Expense","Income")))</f>
        <v/>
      </c>
      <c r="I265" s="27">
        <f>IF($C265="","",ABS($C265))</f>
        <v/>
      </c>
    </row>
    <row r="266">
      <c r="A266" s="37" t="n"/>
      <c r="C266" s="27" t="n"/>
      <c r="D266">
        <f>IF($B266="","",IFERROR(INDEX($D$17:$D$265,MATCH($B266,$B$17:$B$265,0)),""))</f>
        <v/>
      </c>
      <c r="E266">
        <f>IFERROR(INDEX(Dim_Category[CategoryName],MATCH(INDEX(Dim_Vendor[DefaultCategoryID],MATCH($D266,Dim_Vendor[VendorName],0)),Dim_Category[CategoryID],0)),"")</f>
        <v/>
      </c>
      <c r="H266">
        <f>IF($C266="","",IF(SignConvention="Negative = Expense",IF($C266&lt;0,"Expense","Income"),IF($C266&gt;0,"Expense","Income")))</f>
        <v/>
      </c>
      <c r="I266" s="27">
        <f>IF($C266="","",ABS($C266))</f>
        <v/>
      </c>
    </row>
    <row r="267">
      <c r="A267" s="37" t="n"/>
      <c r="C267" s="27" t="n"/>
      <c r="D267">
        <f>IF($B267="","",IFERROR(INDEX($D$17:$D$266,MATCH($B267,$B$17:$B$266,0)),""))</f>
        <v/>
      </c>
      <c r="E267">
        <f>IFERROR(INDEX(Dim_Category[CategoryName],MATCH(INDEX(Dim_Vendor[DefaultCategoryID],MATCH($D267,Dim_Vendor[VendorName],0)),Dim_Category[CategoryID],0)),"")</f>
        <v/>
      </c>
      <c r="H267">
        <f>IF($C267="","",IF(SignConvention="Negative = Expense",IF($C267&lt;0,"Expense","Income"),IF($C267&gt;0,"Expense","Income")))</f>
        <v/>
      </c>
      <c r="I267" s="27">
        <f>IF($C267="","",ABS($C267))</f>
        <v/>
      </c>
    </row>
    <row r="268">
      <c r="A268" s="37" t="n"/>
      <c r="C268" s="27" t="n"/>
      <c r="D268">
        <f>IF($B268="","",IFERROR(INDEX($D$17:$D$267,MATCH($B268,$B$17:$B$267,0)),""))</f>
        <v/>
      </c>
      <c r="E268">
        <f>IFERROR(INDEX(Dim_Category[CategoryName],MATCH(INDEX(Dim_Vendor[DefaultCategoryID],MATCH($D268,Dim_Vendor[VendorName],0)),Dim_Category[CategoryID],0)),"")</f>
        <v/>
      </c>
      <c r="H268">
        <f>IF($C268="","",IF(SignConvention="Negative = Expense",IF($C268&lt;0,"Expense","Income"),IF($C268&gt;0,"Expense","Income")))</f>
        <v/>
      </c>
      <c r="I268" s="27">
        <f>IF($C268="","",ABS($C268))</f>
        <v/>
      </c>
    </row>
    <row r="269">
      <c r="A269" s="37" t="n"/>
      <c r="C269" s="27" t="n"/>
      <c r="D269">
        <f>IF($B269="","",IFERROR(INDEX($D$17:$D$268,MATCH($B269,$B$17:$B$268,0)),""))</f>
        <v/>
      </c>
      <c r="E269">
        <f>IFERROR(INDEX(Dim_Category[CategoryName],MATCH(INDEX(Dim_Vendor[DefaultCategoryID],MATCH($D269,Dim_Vendor[VendorName],0)),Dim_Category[CategoryID],0)),"")</f>
        <v/>
      </c>
      <c r="H269">
        <f>IF($C269="","",IF(SignConvention="Negative = Expense",IF($C269&lt;0,"Expense","Income"),IF($C269&gt;0,"Expense","Income")))</f>
        <v/>
      </c>
      <c r="I269" s="27">
        <f>IF($C269="","",ABS($C269))</f>
        <v/>
      </c>
    </row>
    <row r="270">
      <c r="A270" s="37" t="n"/>
      <c r="C270" s="27" t="n"/>
      <c r="D270">
        <f>IF($B270="","",IFERROR(INDEX($D$17:$D$269,MATCH($B270,$B$17:$B$269,0)),""))</f>
        <v/>
      </c>
      <c r="E270">
        <f>IFERROR(INDEX(Dim_Category[CategoryName],MATCH(INDEX(Dim_Vendor[DefaultCategoryID],MATCH($D270,Dim_Vendor[VendorName],0)),Dim_Category[CategoryID],0)),"")</f>
        <v/>
      </c>
      <c r="H270">
        <f>IF($C270="","",IF(SignConvention="Negative = Expense",IF($C270&lt;0,"Expense","Income"),IF($C270&gt;0,"Expense","Income")))</f>
        <v/>
      </c>
      <c r="I270" s="27">
        <f>IF($C270="","",ABS($C270))</f>
        <v/>
      </c>
    </row>
    <row r="271">
      <c r="A271" s="37" t="n"/>
      <c r="C271" s="27" t="n"/>
      <c r="D271">
        <f>IF($B271="","",IFERROR(INDEX($D$17:$D$270,MATCH($B271,$B$17:$B$270,0)),""))</f>
        <v/>
      </c>
      <c r="E271">
        <f>IFERROR(INDEX(Dim_Category[CategoryName],MATCH(INDEX(Dim_Vendor[DefaultCategoryID],MATCH($D271,Dim_Vendor[VendorName],0)),Dim_Category[CategoryID],0)),"")</f>
        <v/>
      </c>
      <c r="H271">
        <f>IF($C271="","",IF(SignConvention="Negative = Expense",IF($C271&lt;0,"Expense","Income"),IF($C271&gt;0,"Expense","Income")))</f>
        <v/>
      </c>
      <c r="I271" s="27">
        <f>IF($C271="","",ABS($C271))</f>
        <v/>
      </c>
    </row>
    <row r="272">
      <c r="A272" s="37" t="n"/>
      <c r="C272" s="27" t="n"/>
      <c r="D272">
        <f>IF($B272="","",IFERROR(INDEX($D$17:$D$271,MATCH($B272,$B$17:$B$271,0)),""))</f>
        <v/>
      </c>
      <c r="E272">
        <f>IFERROR(INDEX(Dim_Category[CategoryName],MATCH(INDEX(Dim_Vendor[DefaultCategoryID],MATCH($D272,Dim_Vendor[VendorName],0)),Dim_Category[CategoryID],0)),"")</f>
        <v/>
      </c>
      <c r="H272">
        <f>IF($C272="","",IF(SignConvention="Negative = Expense",IF($C272&lt;0,"Expense","Income"),IF($C272&gt;0,"Expense","Income")))</f>
        <v/>
      </c>
      <c r="I272" s="27">
        <f>IF($C272="","",ABS($C272))</f>
        <v/>
      </c>
    </row>
    <row r="273">
      <c r="A273" s="37" t="n"/>
      <c r="C273" s="27" t="n"/>
      <c r="D273">
        <f>IF($B273="","",IFERROR(INDEX($D$17:$D$272,MATCH($B273,$B$17:$B$272,0)),""))</f>
        <v/>
      </c>
      <c r="E273">
        <f>IFERROR(INDEX(Dim_Category[CategoryName],MATCH(INDEX(Dim_Vendor[DefaultCategoryID],MATCH($D273,Dim_Vendor[VendorName],0)),Dim_Category[CategoryID],0)),"")</f>
        <v/>
      </c>
      <c r="H273">
        <f>IF($C273="","",IF(SignConvention="Negative = Expense",IF($C273&lt;0,"Expense","Income"),IF($C273&gt;0,"Expense","Income")))</f>
        <v/>
      </c>
      <c r="I273" s="27">
        <f>IF($C273="","",ABS($C273))</f>
        <v/>
      </c>
    </row>
    <row r="274">
      <c r="A274" s="37" t="n"/>
      <c r="C274" s="27" t="n"/>
      <c r="D274">
        <f>IF($B274="","",IFERROR(INDEX($D$17:$D$273,MATCH($B274,$B$17:$B$273,0)),""))</f>
        <v/>
      </c>
      <c r="E274">
        <f>IFERROR(INDEX(Dim_Category[CategoryName],MATCH(INDEX(Dim_Vendor[DefaultCategoryID],MATCH($D274,Dim_Vendor[VendorName],0)),Dim_Category[CategoryID],0)),"")</f>
        <v/>
      </c>
      <c r="H274">
        <f>IF($C274="","",IF(SignConvention="Negative = Expense",IF($C274&lt;0,"Expense","Income"),IF($C274&gt;0,"Expense","Income")))</f>
        <v/>
      </c>
      <c r="I274" s="27">
        <f>IF($C274="","",ABS($C274))</f>
        <v/>
      </c>
    </row>
    <row r="275">
      <c r="A275" s="37" t="n"/>
      <c r="C275" s="27" t="n"/>
      <c r="D275">
        <f>IF($B275="","",IFERROR(INDEX($D$17:$D$274,MATCH($B275,$B$17:$B$274,0)),""))</f>
        <v/>
      </c>
      <c r="E275">
        <f>IFERROR(INDEX(Dim_Category[CategoryName],MATCH(INDEX(Dim_Vendor[DefaultCategoryID],MATCH($D275,Dim_Vendor[VendorName],0)),Dim_Category[CategoryID],0)),"")</f>
        <v/>
      </c>
      <c r="H275">
        <f>IF($C275="","",IF(SignConvention="Negative = Expense",IF($C275&lt;0,"Expense","Income"),IF($C275&gt;0,"Expense","Income")))</f>
        <v/>
      </c>
      <c r="I275" s="27">
        <f>IF($C275="","",ABS($C275))</f>
        <v/>
      </c>
    </row>
    <row r="276">
      <c r="A276" s="37" t="n"/>
      <c r="C276" s="27" t="n"/>
      <c r="D276">
        <f>IF($B276="","",IFERROR(INDEX($D$17:$D$275,MATCH($B276,$B$17:$B$275,0)),""))</f>
        <v/>
      </c>
      <c r="E276">
        <f>IFERROR(INDEX(Dim_Category[CategoryName],MATCH(INDEX(Dim_Vendor[DefaultCategoryID],MATCH($D276,Dim_Vendor[VendorName],0)),Dim_Category[CategoryID],0)),"")</f>
        <v/>
      </c>
      <c r="H276">
        <f>IF($C276="","",IF(SignConvention="Negative = Expense",IF($C276&lt;0,"Expense","Income"),IF($C276&gt;0,"Expense","Income")))</f>
        <v/>
      </c>
      <c r="I276" s="27">
        <f>IF($C276="","",ABS($C276))</f>
        <v/>
      </c>
    </row>
    <row r="277">
      <c r="A277" s="37" t="n"/>
      <c r="C277" s="27" t="n"/>
      <c r="D277">
        <f>IF($B277="","",IFERROR(INDEX($D$17:$D$276,MATCH($B277,$B$17:$B$276,0)),""))</f>
        <v/>
      </c>
      <c r="E277">
        <f>IFERROR(INDEX(Dim_Category[CategoryName],MATCH(INDEX(Dim_Vendor[DefaultCategoryID],MATCH($D277,Dim_Vendor[VendorName],0)),Dim_Category[CategoryID],0)),"")</f>
        <v/>
      </c>
      <c r="H277">
        <f>IF($C277="","",IF(SignConvention="Negative = Expense",IF($C277&lt;0,"Expense","Income"),IF($C277&gt;0,"Expense","Income")))</f>
        <v/>
      </c>
      <c r="I277" s="27">
        <f>IF($C277="","",ABS($C277))</f>
        <v/>
      </c>
    </row>
    <row r="278">
      <c r="A278" s="37" t="n"/>
      <c r="C278" s="27" t="n"/>
      <c r="D278">
        <f>IF($B278="","",IFERROR(INDEX($D$17:$D$277,MATCH($B278,$B$17:$B$277,0)),""))</f>
        <v/>
      </c>
      <c r="E278">
        <f>IFERROR(INDEX(Dim_Category[CategoryName],MATCH(INDEX(Dim_Vendor[DefaultCategoryID],MATCH($D278,Dim_Vendor[VendorName],0)),Dim_Category[CategoryID],0)),"")</f>
        <v/>
      </c>
      <c r="H278">
        <f>IF($C278="","",IF(SignConvention="Negative = Expense",IF($C278&lt;0,"Expense","Income"),IF($C278&gt;0,"Expense","Income")))</f>
        <v/>
      </c>
      <c r="I278" s="27">
        <f>IF($C278="","",ABS($C278))</f>
        <v/>
      </c>
    </row>
    <row r="279">
      <c r="A279" s="37" t="n"/>
      <c r="C279" s="27" t="n"/>
      <c r="D279">
        <f>IF($B279="","",IFERROR(INDEX($D$17:$D$278,MATCH($B279,$B$17:$B$278,0)),""))</f>
        <v/>
      </c>
      <c r="E279">
        <f>IFERROR(INDEX(Dim_Category[CategoryName],MATCH(INDEX(Dim_Vendor[DefaultCategoryID],MATCH($D279,Dim_Vendor[VendorName],0)),Dim_Category[CategoryID],0)),"")</f>
        <v/>
      </c>
      <c r="H279">
        <f>IF($C279="","",IF(SignConvention="Negative = Expense",IF($C279&lt;0,"Expense","Income"),IF($C279&gt;0,"Expense","Income")))</f>
        <v/>
      </c>
      <c r="I279" s="27">
        <f>IF($C279="","",ABS($C279))</f>
        <v/>
      </c>
    </row>
    <row r="280">
      <c r="A280" s="37" t="n"/>
      <c r="C280" s="27" t="n"/>
      <c r="D280">
        <f>IF($B280="","",IFERROR(INDEX($D$17:$D$279,MATCH($B280,$B$17:$B$279,0)),""))</f>
        <v/>
      </c>
      <c r="E280">
        <f>IFERROR(INDEX(Dim_Category[CategoryName],MATCH(INDEX(Dim_Vendor[DefaultCategoryID],MATCH($D280,Dim_Vendor[VendorName],0)),Dim_Category[CategoryID],0)),"")</f>
        <v/>
      </c>
      <c r="H280">
        <f>IF($C280="","",IF(SignConvention="Negative = Expense",IF($C280&lt;0,"Expense","Income"),IF($C280&gt;0,"Expense","Income")))</f>
        <v/>
      </c>
      <c r="I280" s="27">
        <f>IF($C280="","",ABS($C280))</f>
        <v/>
      </c>
    </row>
    <row r="281">
      <c r="A281" s="37" t="n"/>
      <c r="C281" s="27" t="n"/>
      <c r="D281">
        <f>IF($B281="","",IFERROR(INDEX($D$17:$D$280,MATCH($B281,$B$17:$B$280,0)),""))</f>
        <v/>
      </c>
      <c r="E281">
        <f>IFERROR(INDEX(Dim_Category[CategoryName],MATCH(INDEX(Dim_Vendor[DefaultCategoryID],MATCH($D281,Dim_Vendor[VendorName],0)),Dim_Category[CategoryID],0)),"")</f>
        <v/>
      </c>
      <c r="H281">
        <f>IF($C281="","",IF(SignConvention="Negative = Expense",IF($C281&lt;0,"Expense","Income"),IF($C281&gt;0,"Expense","Income")))</f>
        <v/>
      </c>
      <c r="I281" s="27">
        <f>IF($C281="","",ABS($C281))</f>
        <v/>
      </c>
    </row>
    <row r="282">
      <c r="A282" s="37" t="n"/>
      <c r="C282" s="27" t="n"/>
      <c r="D282">
        <f>IF($B282="","",IFERROR(INDEX($D$17:$D$281,MATCH($B282,$B$17:$B$281,0)),""))</f>
        <v/>
      </c>
      <c r="E282">
        <f>IFERROR(INDEX(Dim_Category[CategoryName],MATCH(INDEX(Dim_Vendor[DefaultCategoryID],MATCH($D282,Dim_Vendor[VendorName],0)),Dim_Category[CategoryID],0)),"")</f>
        <v/>
      </c>
      <c r="H282">
        <f>IF($C282="","",IF(SignConvention="Negative = Expense",IF($C282&lt;0,"Expense","Income"),IF($C282&gt;0,"Expense","Income")))</f>
        <v/>
      </c>
      <c r="I282" s="27">
        <f>IF($C282="","",ABS($C282))</f>
        <v/>
      </c>
    </row>
    <row r="283">
      <c r="A283" s="37" t="n"/>
      <c r="C283" s="27" t="n"/>
      <c r="D283">
        <f>IF($B283="","",IFERROR(INDEX($D$17:$D$282,MATCH($B283,$B$17:$B$282,0)),""))</f>
        <v/>
      </c>
      <c r="E283">
        <f>IFERROR(INDEX(Dim_Category[CategoryName],MATCH(INDEX(Dim_Vendor[DefaultCategoryID],MATCH($D283,Dim_Vendor[VendorName],0)),Dim_Category[CategoryID],0)),"")</f>
        <v/>
      </c>
      <c r="H283">
        <f>IF($C283="","",IF(SignConvention="Negative = Expense",IF($C283&lt;0,"Expense","Income"),IF($C283&gt;0,"Expense","Income")))</f>
        <v/>
      </c>
      <c r="I283" s="27">
        <f>IF($C283="","",ABS($C283))</f>
        <v/>
      </c>
    </row>
    <row r="284">
      <c r="A284" s="37" t="n"/>
      <c r="C284" s="27" t="n"/>
      <c r="D284">
        <f>IF($B284="","",IFERROR(INDEX($D$17:$D$283,MATCH($B284,$B$17:$B$283,0)),""))</f>
        <v/>
      </c>
      <c r="E284">
        <f>IFERROR(INDEX(Dim_Category[CategoryName],MATCH(INDEX(Dim_Vendor[DefaultCategoryID],MATCH($D284,Dim_Vendor[VendorName],0)),Dim_Category[CategoryID],0)),"")</f>
        <v/>
      </c>
      <c r="H284">
        <f>IF($C284="","",IF(SignConvention="Negative = Expense",IF($C284&lt;0,"Expense","Income"),IF($C284&gt;0,"Expense","Income")))</f>
        <v/>
      </c>
      <c r="I284" s="27">
        <f>IF($C284="","",ABS($C284))</f>
        <v/>
      </c>
    </row>
    <row r="285">
      <c r="A285" s="37" t="n"/>
      <c r="C285" s="27" t="n"/>
      <c r="D285">
        <f>IF($B285="","",IFERROR(INDEX($D$17:$D$284,MATCH($B285,$B$17:$B$284,0)),""))</f>
        <v/>
      </c>
      <c r="E285">
        <f>IFERROR(INDEX(Dim_Category[CategoryName],MATCH(INDEX(Dim_Vendor[DefaultCategoryID],MATCH($D285,Dim_Vendor[VendorName],0)),Dim_Category[CategoryID],0)),"")</f>
        <v/>
      </c>
      <c r="H285">
        <f>IF($C285="","",IF(SignConvention="Negative = Expense",IF($C285&lt;0,"Expense","Income"),IF($C285&gt;0,"Expense","Income")))</f>
        <v/>
      </c>
      <c r="I285" s="27">
        <f>IF($C285="","",ABS($C285))</f>
        <v/>
      </c>
    </row>
    <row r="286">
      <c r="A286" s="37" t="n"/>
      <c r="C286" s="27" t="n"/>
      <c r="D286">
        <f>IF($B286="","",IFERROR(INDEX($D$17:$D$285,MATCH($B286,$B$17:$B$285,0)),""))</f>
        <v/>
      </c>
      <c r="E286">
        <f>IFERROR(INDEX(Dim_Category[CategoryName],MATCH(INDEX(Dim_Vendor[DefaultCategoryID],MATCH($D286,Dim_Vendor[VendorName],0)),Dim_Category[CategoryID],0)),"")</f>
        <v/>
      </c>
      <c r="H286">
        <f>IF($C286="","",IF(SignConvention="Negative = Expense",IF($C286&lt;0,"Expense","Income"),IF($C286&gt;0,"Expense","Income")))</f>
        <v/>
      </c>
      <c r="I286" s="27">
        <f>IF($C286="","",ABS($C286))</f>
        <v/>
      </c>
    </row>
    <row r="287">
      <c r="A287" s="37" t="n"/>
      <c r="C287" s="27" t="n"/>
      <c r="D287">
        <f>IF($B287="","",IFERROR(INDEX($D$17:$D$286,MATCH($B287,$B$17:$B$286,0)),""))</f>
        <v/>
      </c>
      <c r="E287">
        <f>IFERROR(INDEX(Dim_Category[CategoryName],MATCH(INDEX(Dim_Vendor[DefaultCategoryID],MATCH($D287,Dim_Vendor[VendorName],0)),Dim_Category[CategoryID],0)),"")</f>
        <v/>
      </c>
      <c r="H287">
        <f>IF($C287="","",IF(SignConvention="Negative = Expense",IF($C287&lt;0,"Expense","Income"),IF($C287&gt;0,"Expense","Income")))</f>
        <v/>
      </c>
      <c r="I287" s="27">
        <f>IF($C287="","",ABS($C287))</f>
        <v/>
      </c>
    </row>
    <row r="288">
      <c r="A288" s="37" t="n"/>
      <c r="C288" s="27" t="n"/>
      <c r="D288">
        <f>IF($B288="","",IFERROR(INDEX($D$17:$D$287,MATCH($B288,$B$17:$B$287,0)),""))</f>
        <v/>
      </c>
      <c r="E288">
        <f>IFERROR(INDEX(Dim_Category[CategoryName],MATCH(INDEX(Dim_Vendor[DefaultCategoryID],MATCH($D288,Dim_Vendor[VendorName],0)),Dim_Category[CategoryID],0)),"")</f>
        <v/>
      </c>
      <c r="H288">
        <f>IF($C288="","",IF(SignConvention="Negative = Expense",IF($C288&lt;0,"Expense","Income"),IF($C288&gt;0,"Expense","Income")))</f>
        <v/>
      </c>
      <c r="I288" s="27">
        <f>IF($C288="","",ABS($C288))</f>
        <v/>
      </c>
    </row>
    <row r="289">
      <c r="A289" s="37" t="n"/>
      <c r="C289" s="27" t="n"/>
      <c r="D289">
        <f>IF($B289="","",IFERROR(INDEX($D$17:$D$288,MATCH($B289,$B$17:$B$288,0)),""))</f>
        <v/>
      </c>
      <c r="E289">
        <f>IFERROR(INDEX(Dim_Category[CategoryName],MATCH(INDEX(Dim_Vendor[DefaultCategoryID],MATCH($D289,Dim_Vendor[VendorName],0)),Dim_Category[CategoryID],0)),"")</f>
        <v/>
      </c>
      <c r="H289">
        <f>IF($C289="","",IF(SignConvention="Negative = Expense",IF($C289&lt;0,"Expense","Income"),IF($C289&gt;0,"Expense","Income")))</f>
        <v/>
      </c>
      <c r="I289" s="27">
        <f>IF($C289="","",ABS($C289))</f>
        <v/>
      </c>
    </row>
    <row r="290">
      <c r="A290" s="37" t="n"/>
      <c r="C290" s="27" t="n"/>
      <c r="D290">
        <f>IF($B290="","",IFERROR(INDEX($D$17:$D$289,MATCH($B290,$B$17:$B$289,0)),""))</f>
        <v/>
      </c>
      <c r="E290">
        <f>IFERROR(INDEX(Dim_Category[CategoryName],MATCH(INDEX(Dim_Vendor[DefaultCategoryID],MATCH($D290,Dim_Vendor[VendorName],0)),Dim_Category[CategoryID],0)),"")</f>
        <v/>
      </c>
      <c r="H290">
        <f>IF($C290="","",IF(SignConvention="Negative = Expense",IF($C290&lt;0,"Expense","Income"),IF($C290&gt;0,"Expense","Income")))</f>
        <v/>
      </c>
      <c r="I290" s="27">
        <f>IF($C290="","",ABS($C290))</f>
        <v/>
      </c>
    </row>
    <row r="291">
      <c r="A291" s="37" t="n"/>
      <c r="C291" s="27" t="n"/>
      <c r="D291">
        <f>IF($B291="","",IFERROR(INDEX($D$17:$D$290,MATCH($B291,$B$17:$B$290,0)),""))</f>
        <v/>
      </c>
      <c r="E291">
        <f>IFERROR(INDEX(Dim_Category[CategoryName],MATCH(INDEX(Dim_Vendor[DefaultCategoryID],MATCH($D291,Dim_Vendor[VendorName],0)),Dim_Category[CategoryID],0)),"")</f>
        <v/>
      </c>
      <c r="H291">
        <f>IF($C291="","",IF(SignConvention="Negative = Expense",IF($C291&lt;0,"Expense","Income"),IF($C291&gt;0,"Expense","Income")))</f>
        <v/>
      </c>
      <c r="I291" s="27">
        <f>IF($C291="","",ABS($C291))</f>
        <v/>
      </c>
    </row>
    <row r="292">
      <c r="A292" s="37" t="n"/>
      <c r="C292" s="27" t="n"/>
      <c r="D292">
        <f>IF($B292="","",IFERROR(INDEX($D$17:$D$291,MATCH($B292,$B$17:$B$291,0)),""))</f>
        <v/>
      </c>
      <c r="E292">
        <f>IFERROR(INDEX(Dim_Category[CategoryName],MATCH(INDEX(Dim_Vendor[DefaultCategoryID],MATCH($D292,Dim_Vendor[VendorName],0)),Dim_Category[CategoryID],0)),"")</f>
        <v/>
      </c>
      <c r="H292">
        <f>IF($C292="","",IF(SignConvention="Negative = Expense",IF($C292&lt;0,"Expense","Income"),IF($C292&gt;0,"Expense","Income")))</f>
        <v/>
      </c>
      <c r="I292" s="27">
        <f>IF($C292="","",ABS($C292))</f>
        <v/>
      </c>
    </row>
    <row r="293">
      <c r="A293" s="37" t="n"/>
      <c r="C293" s="27" t="n"/>
      <c r="D293">
        <f>IF($B293="","",IFERROR(INDEX($D$17:$D$292,MATCH($B293,$B$17:$B$292,0)),""))</f>
        <v/>
      </c>
      <c r="E293">
        <f>IFERROR(INDEX(Dim_Category[CategoryName],MATCH(INDEX(Dim_Vendor[DefaultCategoryID],MATCH($D293,Dim_Vendor[VendorName],0)),Dim_Category[CategoryID],0)),"")</f>
        <v/>
      </c>
      <c r="H293">
        <f>IF($C293="","",IF(SignConvention="Negative = Expense",IF($C293&lt;0,"Expense","Income"),IF($C293&gt;0,"Expense","Income")))</f>
        <v/>
      </c>
      <c r="I293" s="27">
        <f>IF($C293="","",ABS($C293))</f>
        <v/>
      </c>
    </row>
    <row r="294">
      <c r="A294" s="37" t="n"/>
      <c r="C294" s="27" t="n"/>
      <c r="D294">
        <f>IF($B294="","",IFERROR(INDEX($D$17:$D$293,MATCH($B294,$B$17:$B$293,0)),""))</f>
        <v/>
      </c>
      <c r="E294">
        <f>IFERROR(INDEX(Dim_Category[CategoryName],MATCH(INDEX(Dim_Vendor[DefaultCategoryID],MATCH($D294,Dim_Vendor[VendorName],0)),Dim_Category[CategoryID],0)),"")</f>
        <v/>
      </c>
      <c r="H294">
        <f>IF($C294="","",IF(SignConvention="Negative = Expense",IF($C294&lt;0,"Expense","Income"),IF($C294&gt;0,"Expense","Income")))</f>
        <v/>
      </c>
      <c r="I294" s="27">
        <f>IF($C294="","",ABS($C294))</f>
        <v/>
      </c>
    </row>
    <row r="295">
      <c r="A295" s="37" t="n"/>
      <c r="C295" s="27" t="n"/>
      <c r="D295">
        <f>IF($B295="","",IFERROR(INDEX($D$17:$D$294,MATCH($B295,$B$17:$B$294,0)),""))</f>
        <v/>
      </c>
      <c r="E295">
        <f>IFERROR(INDEX(Dim_Category[CategoryName],MATCH(INDEX(Dim_Vendor[DefaultCategoryID],MATCH($D295,Dim_Vendor[VendorName],0)),Dim_Category[CategoryID],0)),"")</f>
        <v/>
      </c>
      <c r="H295">
        <f>IF($C295="","",IF(SignConvention="Negative = Expense",IF($C295&lt;0,"Expense","Income"),IF($C295&gt;0,"Expense","Income")))</f>
        <v/>
      </c>
      <c r="I295" s="27">
        <f>IF($C295="","",ABS($C295))</f>
        <v/>
      </c>
    </row>
    <row r="296">
      <c r="A296" s="37" t="n"/>
      <c r="C296" s="27" t="n"/>
      <c r="D296">
        <f>IF($B296="","",IFERROR(INDEX($D$17:$D$295,MATCH($B296,$B$17:$B$295,0)),""))</f>
        <v/>
      </c>
      <c r="E296">
        <f>IFERROR(INDEX(Dim_Category[CategoryName],MATCH(INDEX(Dim_Vendor[DefaultCategoryID],MATCH($D296,Dim_Vendor[VendorName],0)),Dim_Category[CategoryID],0)),"")</f>
        <v/>
      </c>
      <c r="H296">
        <f>IF($C296="","",IF(SignConvention="Negative = Expense",IF($C296&lt;0,"Expense","Income"),IF($C296&gt;0,"Expense","Income")))</f>
        <v/>
      </c>
      <c r="I296" s="27">
        <f>IF($C296="","",ABS($C296))</f>
        <v/>
      </c>
    </row>
    <row r="297">
      <c r="A297" s="37" t="n"/>
      <c r="C297" s="27" t="n"/>
      <c r="D297">
        <f>IF($B297="","",IFERROR(INDEX($D$17:$D$296,MATCH($B297,$B$17:$B$296,0)),""))</f>
        <v/>
      </c>
      <c r="E297">
        <f>IFERROR(INDEX(Dim_Category[CategoryName],MATCH(INDEX(Dim_Vendor[DefaultCategoryID],MATCH($D297,Dim_Vendor[VendorName],0)),Dim_Category[CategoryID],0)),"")</f>
        <v/>
      </c>
      <c r="H297">
        <f>IF($C297="","",IF(SignConvention="Negative = Expense",IF($C297&lt;0,"Expense","Income"),IF($C297&gt;0,"Expense","Income")))</f>
        <v/>
      </c>
      <c r="I297" s="27">
        <f>IF($C297="","",ABS($C297))</f>
        <v/>
      </c>
    </row>
    <row r="298">
      <c r="A298" s="37" t="n"/>
      <c r="C298" s="27" t="n"/>
      <c r="D298">
        <f>IF($B298="","",IFERROR(INDEX($D$17:$D$297,MATCH($B298,$B$17:$B$297,0)),""))</f>
        <v/>
      </c>
      <c r="E298">
        <f>IFERROR(INDEX(Dim_Category[CategoryName],MATCH(INDEX(Dim_Vendor[DefaultCategoryID],MATCH($D298,Dim_Vendor[VendorName],0)),Dim_Category[CategoryID],0)),"")</f>
        <v/>
      </c>
      <c r="H298">
        <f>IF($C298="","",IF(SignConvention="Negative = Expense",IF($C298&lt;0,"Expense","Income"),IF($C298&gt;0,"Expense","Income")))</f>
        <v/>
      </c>
      <c r="I298" s="27">
        <f>IF($C298="","",ABS($C298))</f>
        <v/>
      </c>
    </row>
    <row r="299">
      <c r="A299" s="37" t="n"/>
      <c r="C299" s="27" t="n"/>
      <c r="D299">
        <f>IF($B299="","",IFERROR(INDEX($D$17:$D$298,MATCH($B299,$B$17:$B$298,0)),""))</f>
        <v/>
      </c>
      <c r="E299">
        <f>IFERROR(INDEX(Dim_Category[CategoryName],MATCH(INDEX(Dim_Vendor[DefaultCategoryID],MATCH($D299,Dim_Vendor[VendorName],0)),Dim_Category[CategoryID],0)),"")</f>
        <v/>
      </c>
      <c r="H299">
        <f>IF($C299="","",IF(SignConvention="Negative = Expense",IF($C299&lt;0,"Expense","Income"),IF($C299&gt;0,"Expense","Income")))</f>
        <v/>
      </c>
      <c r="I299" s="27">
        <f>IF($C299="","",ABS($C299))</f>
        <v/>
      </c>
    </row>
    <row r="300">
      <c r="A300" s="37" t="n"/>
      <c r="C300" s="27" t="n"/>
      <c r="D300">
        <f>IF($B300="","",IFERROR(INDEX($D$17:$D$299,MATCH($B300,$B$17:$B$299,0)),""))</f>
        <v/>
      </c>
      <c r="E300">
        <f>IFERROR(INDEX(Dim_Category[CategoryName],MATCH(INDEX(Dim_Vendor[DefaultCategoryID],MATCH($D300,Dim_Vendor[VendorName],0)),Dim_Category[CategoryID],0)),"")</f>
        <v/>
      </c>
      <c r="H300">
        <f>IF($C300="","",IF(SignConvention="Negative = Expense",IF($C300&lt;0,"Expense","Income"),IF($C300&gt;0,"Expense","Income")))</f>
        <v/>
      </c>
      <c r="I300" s="27">
        <f>IF($C300="","",ABS($C300))</f>
        <v/>
      </c>
    </row>
    <row r="301">
      <c r="A301" s="37" t="n"/>
      <c r="C301" s="27" t="n"/>
      <c r="D301">
        <f>IF($B301="","",IFERROR(INDEX($D$17:$D$300,MATCH($B301,$B$17:$B$300,0)),""))</f>
        <v/>
      </c>
      <c r="E301">
        <f>IFERROR(INDEX(Dim_Category[CategoryName],MATCH(INDEX(Dim_Vendor[DefaultCategoryID],MATCH($D301,Dim_Vendor[VendorName],0)),Dim_Category[CategoryID],0)),"")</f>
        <v/>
      </c>
      <c r="H301">
        <f>IF($C301="","",IF(SignConvention="Negative = Expense",IF($C301&lt;0,"Expense","Income"),IF($C301&gt;0,"Expense","Income")))</f>
        <v/>
      </c>
      <c r="I301" s="27">
        <f>IF($C301="","",ABS($C301))</f>
        <v/>
      </c>
    </row>
    <row r="302">
      <c r="A302" s="37" t="n"/>
      <c r="C302" s="27" t="n"/>
      <c r="D302">
        <f>IF($B302="","",IFERROR(INDEX($D$17:$D$301,MATCH($B302,$B$17:$B$301,0)),""))</f>
        <v/>
      </c>
      <c r="E302">
        <f>IFERROR(INDEX(Dim_Category[CategoryName],MATCH(INDEX(Dim_Vendor[DefaultCategoryID],MATCH($D302,Dim_Vendor[VendorName],0)),Dim_Category[CategoryID],0)),"")</f>
        <v/>
      </c>
      <c r="H302">
        <f>IF($C302="","",IF(SignConvention="Negative = Expense",IF($C302&lt;0,"Expense","Income"),IF($C302&gt;0,"Expense","Income")))</f>
        <v/>
      </c>
      <c r="I302" s="27">
        <f>IF($C302="","",ABS($C302))</f>
        <v/>
      </c>
    </row>
    <row r="303">
      <c r="A303" s="37" t="n"/>
      <c r="C303" s="27" t="n"/>
      <c r="D303">
        <f>IF($B303="","",IFERROR(INDEX($D$17:$D$302,MATCH($B303,$B$17:$B$302,0)),""))</f>
        <v/>
      </c>
      <c r="E303">
        <f>IFERROR(INDEX(Dim_Category[CategoryName],MATCH(INDEX(Dim_Vendor[DefaultCategoryID],MATCH($D303,Dim_Vendor[VendorName],0)),Dim_Category[CategoryID],0)),"")</f>
        <v/>
      </c>
      <c r="H303">
        <f>IF($C303="","",IF(SignConvention="Negative = Expense",IF($C303&lt;0,"Expense","Income"),IF($C303&gt;0,"Expense","Income")))</f>
        <v/>
      </c>
      <c r="I303" s="27">
        <f>IF($C303="","",ABS($C303))</f>
        <v/>
      </c>
    </row>
    <row r="304">
      <c r="A304" s="37" t="n"/>
      <c r="C304" s="27" t="n"/>
      <c r="D304">
        <f>IF($B304="","",IFERROR(INDEX($D$17:$D$303,MATCH($B304,$B$17:$B$303,0)),""))</f>
        <v/>
      </c>
      <c r="E304">
        <f>IFERROR(INDEX(Dim_Category[CategoryName],MATCH(INDEX(Dim_Vendor[DefaultCategoryID],MATCH($D304,Dim_Vendor[VendorName],0)),Dim_Category[CategoryID],0)),"")</f>
        <v/>
      </c>
      <c r="H304">
        <f>IF($C304="","",IF(SignConvention="Negative = Expense",IF($C304&lt;0,"Expense","Income"),IF($C304&gt;0,"Expense","Income")))</f>
        <v/>
      </c>
      <c r="I304" s="27">
        <f>IF($C304="","",ABS($C304))</f>
        <v/>
      </c>
    </row>
    <row r="305">
      <c r="A305" s="37" t="n"/>
      <c r="C305" s="27" t="n"/>
      <c r="D305">
        <f>IF($B305="","",IFERROR(INDEX($D$17:$D$304,MATCH($B305,$B$17:$B$304,0)),""))</f>
        <v/>
      </c>
      <c r="E305">
        <f>IFERROR(INDEX(Dim_Category[CategoryName],MATCH(INDEX(Dim_Vendor[DefaultCategoryID],MATCH($D305,Dim_Vendor[VendorName],0)),Dim_Category[CategoryID],0)),"")</f>
        <v/>
      </c>
      <c r="H305">
        <f>IF($C305="","",IF(SignConvention="Negative = Expense",IF($C305&lt;0,"Expense","Income"),IF($C305&gt;0,"Expense","Income")))</f>
        <v/>
      </c>
      <c r="I305" s="27">
        <f>IF($C305="","",ABS($C305))</f>
        <v/>
      </c>
    </row>
    <row r="306">
      <c r="A306" s="37" t="n"/>
      <c r="C306" s="27" t="n"/>
      <c r="D306">
        <f>IF($B306="","",IFERROR(INDEX($D$17:$D$305,MATCH($B306,$B$17:$B$305,0)),""))</f>
        <v/>
      </c>
      <c r="E306">
        <f>IFERROR(INDEX(Dim_Category[CategoryName],MATCH(INDEX(Dim_Vendor[DefaultCategoryID],MATCH($D306,Dim_Vendor[VendorName],0)),Dim_Category[CategoryID],0)),"")</f>
        <v/>
      </c>
      <c r="H306">
        <f>IF($C306="","",IF(SignConvention="Negative = Expense",IF($C306&lt;0,"Expense","Income"),IF($C306&gt;0,"Expense","Income")))</f>
        <v/>
      </c>
      <c r="I306" s="27">
        <f>IF($C306="","",ABS($C306))</f>
        <v/>
      </c>
    </row>
    <row r="307">
      <c r="A307" s="37" t="n"/>
      <c r="C307" s="27" t="n"/>
      <c r="D307">
        <f>IF($B307="","",IFERROR(INDEX($D$17:$D$306,MATCH($B307,$B$17:$B$306,0)),""))</f>
        <v/>
      </c>
      <c r="E307">
        <f>IFERROR(INDEX(Dim_Category[CategoryName],MATCH(INDEX(Dim_Vendor[DefaultCategoryID],MATCH($D307,Dim_Vendor[VendorName],0)),Dim_Category[CategoryID],0)),"")</f>
        <v/>
      </c>
      <c r="H307">
        <f>IF($C307="","",IF(SignConvention="Negative = Expense",IF($C307&lt;0,"Expense","Income"),IF($C307&gt;0,"Expense","Income")))</f>
        <v/>
      </c>
      <c r="I307" s="27">
        <f>IF($C307="","",ABS($C307))</f>
        <v/>
      </c>
    </row>
    <row r="308">
      <c r="A308" s="37" t="n"/>
      <c r="C308" s="27" t="n"/>
      <c r="D308">
        <f>IF($B308="","",IFERROR(INDEX($D$17:$D$307,MATCH($B308,$B$17:$B$307,0)),""))</f>
        <v/>
      </c>
      <c r="E308">
        <f>IFERROR(INDEX(Dim_Category[CategoryName],MATCH(INDEX(Dim_Vendor[DefaultCategoryID],MATCH($D308,Dim_Vendor[VendorName],0)),Dim_Category[CategoryID],0)),"")</f>
        <v/>
      </c>
      <c r="H308">
        <f>IF($C308="","",IF(SignConvention="Negative = Expense",IF($C308&lt;0,"Expense","Income"),IF($C308&gt;0,"Expense","Income")))</f>
        <v/>
      </c>
      <c r="I308" s="27">
        <f>IF($C308="","",ABS($C308))</f>
        <v/>
      </c>
    </row>
    <row r="309">
      <c r="A309" s="37" t="n"/>
      <c r="C309" s="27" t="n"/>
      <c r="D309">
        <f>IF($B309="","",IFERROR(INDEX($D$17:$D$308,MATCH($B309,$B$17:$B$308,0)),""))</f>
        <v/>
      </c>
      <c r="E309">
        <f>IFERROR(INDEX(Dim_Category[CategoryName],MATCH(INDEX(Dim_Vendor[DefaultCategoryID],MATCH($D309,Dim_Vendor[VendorName],0)),Dim_Category[CategoryID],0)),"")</f>
        <v/>
      </c>
      <c r="H309">
        <f>IF($C309="","",IF(SignConvention="Negative = Expense",IF($C309&lt;0,"Expense","Income"),IF($C309&gt;0,"Expense","Income")))</f>
        <v/>
      </c>
      <c r="I309" s="27">
        <f>IF($C309="","",ABS($C309))</f>
        <v/>
      </c>
    </row>
    <row r="310">
      <c r="A310" s="37" t="n"/>
      <c r="C310" s="27" t="n"/>
      <c r="D310">
        <f>IF($B310="","",IFERROR(INDEX($D$17:$D$309,MATCH($B310,$B$17:$B$309,0)),""))</f>
        <v/>
      </c>
      <c r="E310">
        <f>IFERROR(INDEX(Dim_Category[CategoryName],MATCH(INDEX(Dim_Vendor[DefaultCategoryID],MATCH($D310,Dim_Vendor[VendorName],0)),Dim_Category[CategoryID],0)),"")</f>
        <v/>
      </c>
      <c r="H310">
        <f>IF($C310="","",IF(SignConvention="Negative = Expense",IF($C310&lt;0,"Expense","Income"),IF($C310&gt;0,"Expense","Income")))</f>
        <v/>
      </c>
      <c r="I310" s="27">
        <f>IF($C310="","",ABS($C310))</f>
        <v/>
      </c>
    </row>
    <row r="311">
      <c r="A311" s="37" t="n"/>
      <c r="C311" s="27" t="n"/>
      <c r="D311">
        <f>IF($B311="","",IFERROR(INDEX($D$17:$D$310,MATCH($B311,$B$17:$B$310,0)),""))</f>
        <v/>
      </c>
      <c r="E311">
        <f>IFERROR(INDEX(Dim_Category[CategoryName],MATCH(INDEX(Dim_Vendor[DefaultCategoryID],MATCH($D311,Dim_Vendor[VendorName],0)),Dim_Category[CategoryID],0)),"")</f>
        <v/>
      </c>
      <c r="H311">
        <f>IF($C311="","",IF(SignConvention="Negative = Expense",IF($C311&lt;0,"Expense","Income"),IF($C311&gt;0,"Expense","Income")))</f>
        <v/>
      </c>
      <c r="I311" s="27">
        <f>IF($C311="","",ABS($C311))</f>
        <v/>
      </c>
    </row>
    <row r="312">
      <c r="A312" s="37" t="n"/>
      <c r="C312" s="27" t="n"/>
      <c r="D312">
        <f>IF($B312="","",IFERROR(INDEX($D$17:$D$311,MATCH($B312,$B$17:$B$311,0)),""))</f>
        <v/>
      </c>
      <c r="E312">
        <f>IFERROR(INDEX(Dim_Category[CategoryName],MATCH(INDEX(Dim_Vendor[DefaultCategoryID],MATCH($D312,Dim_Vendor[VendorName],0)),Dim_Category[CategoryID],0)),"")</f>
        <v/>
      </c>
      <c r="H312">
        <f>IF($C312="","",IF(SignConvention="Negative = Expense",IF($C312&lt;0,"Expense","Income"),IF($C312&gt;0,"Expense","Income")))</f>
        <v/>
      </c>
      <c r="I312" s="27">
        <f>IF($C312="","",ABS($C312))</f>
        <v/>
      </c>
    </row>
    <row r="313">
      <c r="A313" s="37" t="n"/>
      <c r="C313" s="27" t="n"/>
      <c r="D313">
        <f>IF($B313="","",IFERROR(INDEX($D$17:$D$312,MATCH($B313,$B$17:$B$312,0)),""))</f>
        <v/>
      </c>
      <c r="E313">
        <f>IFERROR(INDEX(Dim_Category[CategoryName],MATCH(INDEX(Dim_Vendor[DefaultCategoryID],MATCH($D313,Dim_Vendor[VendorName],0)),Dim_Category[CategoryID],0)),"")</f>
        <v/>
      </c>
      <c r="H313">
        <f>IF($C313="","",IF(SignConvention="Negative = Expense",IF($C313&lt;0,"Expense","Income"),IF($C313&gt;0,"Expense","Income")))</f>
        <v/>
      </c>
      <c r="I313" s="27">
        <f>IF($C313="","",ABS($C313))</f>
        <v/>
      </c>
    </row>
    <row r="314">
      <c r="A314" s="37" t="n"/>
      <c r="C314" s="27" t="n"/>
      <c r="D314">
        <f>IF($B314="","",IFERROR(INDEX($D$17:$D$313,MATCH($B314,$B$17:$B$313,0)),""))</f>
        <v/>
      </c>
      <c r="E314">
        <f>IFERROR(INDEX(Dim_Category[CategoryName],MATCH(INDEX(Dim_Vendor[DefaultCategoryID],MATCH($D314,Dim_Vendor[VendorName],0)),Dim_Category[CategoryID],0)),"")</f>
        <v/>
      </c>
      <c r="H314">
        <f>IF($C314="","",IF(SignConvention="Negative = Expense",IF($C314&lt;0,"Expense","Income"),IF($C314&gt;0,"Expense","Income")))</f>
        <v/>
      </c>
      <c r="I314" s="27">
        <f>IF($C314="","",ABS($C314))</f>
        <v/>
      </c>
    </row>
    <row r="315">
      <c r="A315" s="37" t="n"/>
      <c r="C315" s="27" t="n"/>
      <c r="D315">
        <f>IF($B315="","",IFERROR(INDEX($D$17:$D$314,MATCH($B315,$B$17:$B$314,0)),""))</f>
        <v/>
      </c>
      <c r="E315">
        <f>IFERROR(INDEX(Dim_Category[CategoryName],MATCH(INDEX(Dim_Vendor[DefaultCategoryID],MATCH($D315,Dim_Vendor[VendorName],0)),Dim_Category[CategoryID],0)),"")</f>
        <v/>
      </c>
      <c r="H315">
        <f>IF($C315="","",IF(SignConvention="Negative = Expense",IF($C315&lt;0,"Expense","Income"),IF($C315&gt;0,"Expense","Income")))</f>
        <v/>
      </c>
      <c r="I315" s="27">
        <f>IF($C315="","",ABS($C315))</f>
        <v/>
      </c>
    </row>
    <row r="316">
      <c r="A316" s="37" t="n"/>
      <c r="C316" s="27" t="n"/>
      <c r="D316">
        <f>IF($B316="","",IFERROR(INDEX($D$17:$D$315,MATCH($B316,$B$17:$B$315,0)),""))</f>
        <v/>
      </c>
      <c r="E316">
        <f>IFERROR(INDEX(Dim_Category[CategoryName],MATCH(INDEX(Dim_Vendor[DefaultCategoryID],MATCH($D316,Dim_Vendor[VendorName],0)),Dim_Category[CategoryID],0)),"")</f>
        <v/>
      </c>
      <c r="H316">
        <f>IF($C316="","",IF(SignConvention="Negative = Expense",IF($C316&lt;0,"Expense","Income"),IF($C316&gt;0,"Expense","Income")))</f>
        <v/>
      </c>
      <c r="I316" s="27">
        <f>IF($C316="","",ABS($C316))</f>
        <v/>
      </c>
    </row>
    <row r="317">
      <c r="A317" s="37" t="n"/>
      <c r="C317" s="27" t="n"/>
      <c r="D317">
        <f>IF($B317="","",IFERROR(INDEX($D$17:$D$316,MATCH($B317,$B$17:$B$316,0)),""))</f>
        <v/>
      </c>
      <c r="E317">
        <f>IFERROR(INDEX(Dim_Category[CategoryName],MATCH(INDEX(Dim_Vendor[DefaultCategoryID],MATCH($D317,Dim_Vendor[VendorName],0)),Dim_Category[CategoryID],0)),"")</f>
        <v/>
      </c>
      <c r="H317">
        <f>IF($C317="","",IF(SignConvention="Negative = Expense",IF($C317&lt;0,"Expense","Income"),IF($C317&gt;0,"Expense","Income")))</f>
        <v/>
      </c>
      <c r="I317" s="27">
        <f>IF($C317="","",ABS($C317))</f>
        <v/>
      </c>
    </row>
    <row r="318">
      <c r="A318" s="37" t="n"/>
      <c r="C318" s="27" t="n"/>
      <c r="D318">
        <f>IF($B318="","",IFERROR(INDEX($D$17:$D$317,MATCH($B318,$B$17:$B$317,0)),""))</f>
        <v/>
      </c>
      <c r="E318">
        <f>IFERROR(INDEX(Dim_Category[CategoryName],MATCH(INDEX(Dim_Vendor[DefaultCategoryID],MATCH($D318,Dim_Vendor[VendorName],0)),Dim_Category[CategoryID],0)),"")</f>
        <v/>
      </c>
      <c r="H318">
        <f>IF($C318="","",IF(SignConvention="Negative = Expense",IF($C318&lt;0,"Expense","Income"),IF($C318&gt;0,"Expense","Income")))</f>
        <v/>
      </c>
      <c r="I318" s="27">
        <f>IF($C318="","",ABS($C318))</f>
        <v/>
      </c>
    </row>
    <row r="319">
      <c r="A319" s="37" t="n"/>
      <c r="C319" s="27" t="n"/>
      <c r="D319">
        <f>IF($B319="","",IFERROR(INDEX($D$17:$D$318,MATCH($B319,$B$17:$B$318,0)),""))</f>
        <v/>
      </c>
      <c r="E319">
        <f>IFERROR(INDEX(Dim_Category[CategoryName],MATCH(INDEX(Dim_Vendor[DefaultCategoryID],MATCH($D319,Dim_Vendor[VendorName],0)),Dim_Category[CategoryID],0)),"")</f>
        <v/>
      </c>
      <c r="H319">
        <f>IF($C319="","",IF(SignConvention="Negative = Expense",IF($C319&lt;0,"Expense","Income"),IF($C319&gt;0,"Expense","Income")))</f>
        <v/>
      </c>
      <c r="I319" s="27">
        <f>IF($C319="","",ABS($C319))</f>
        <v/>
      </c>
    </row>
    <row r="320">
      <c r="A320" s="37" t="n"/>
      <c r="C320" s="27" t="n"/>
      <c r="D320">
        <f>IF($B320="","",IFERROR(INDEX($D$17:$D$319,MATCH($B320,$B$17:$B$319,0)),""))</f>
        <v/>
      </c>
      <c r="E320">
        <f>IFERROR(INDEX(Dim_Category[CategoryName],MATCH(INDEX(Dim_Vendor[DefaultCategoryID],MATCH($D320,Dim_Vendor[VendorName],0)),Dim_Category[CategoryID],0)),"")</f>
        <v/>
      </c>
      <c r="H320">
        <f>IF($C320="","",IF(SignConvention="Negative = Expense",IF($C320&lt;0,"Expense","Income"),IF($C320&gt;0,"Expense","Income")))</f>
        <v/>
      </c>
      <c r="I320" s="27">
        <f>IF($C320="","",ABS($C320))</f>
        <v/>
      </c>
    </row>
    <row r="321">
      <c r="A321" s="37" t="n"/>
      <c r="C321" s="27" t="n"/>
      <c r="D321">
        <f>IF($B321="","",IFERROR(INDEX($D$17:$D$320,MATCH($B321,$B$17:$B$320,0)),""))</f>
        <v/>
      </c>
      <c r="E321">
        <f>IFERROR(INDEX(Dim_Category[CategoryName],MATCH(INDEX(Dim_Vendor[DefaultCategoryID],MATCH($D321,Dim_Vendor[VendorName],0)),Dim_Category[CategoryID],0)),"")</f>
        <v/>
      </c>
      <c r="H321">
        <f>IF($C321="","",IF(SignConvention="Negative = Expense",IF($C321&lt;0,"Expense","Income"),IF($C321&gt;0,"Expense","Income")))</f>
        <v/>
      </c>
      <c r="I321" s="27">
        <f>IF($C321="","",ABS($C321))</f>
        <v/>
      </c>
    </row>
    <row r="322">
      <c r="A322" s="37" t="n"/>
      <c r="C322" s="27" t="n"/>
      <c r="D322">
        <f>IF($B322="","",IFERROR(INDEX($D$17:$D$321,MATCH($B322,$B$17:$B$321,0)),""))</f>
        <v/>
      </c>
      <c r="E322">
        <f>IFERROR(INDEX(Dim_Category[CategoryName],MATCH(INDEX(Dim_Vendor[DefaultCategoryID],MATCH($D322,Dim_Vendor[VendorName],0)),Dim_Category[CategoryID],0)),"")</f>
        <v/>
      </c>
      <c r="H322">
        <f>IF($C322="","",IF(SignConvention="Negative = Expense",IF($C322&lt;0,"Expense","Income"),IF($C322&gt;0,"Expense","Income")))</f>
        <v/>
      </c>
      <c r="I322" s="27">
        <f>IF($C322="","",ABS($C322))</f>
        <v/>
      </c>
    </row>
    <row r="323">
      <c r="A323" s="37" t="n"/>
      <c r="C323" s="27" t="n"/>
      <c r="D323">
        <f>IF($B323="","",IFERROR(INDEX($D$17:$D$322,MATCH($B323,$B$17:$B$322,0)),""))</f>
        <v/>
      </c>
      <c r="E323">
        <f>IFERROR(INDEX(Dim_Category[CategoryName],MATCH(INDEX(Dim_Vendor[DefaultCategoryID],MATCH($D323,Dim_Vendor[VendorName],0)),Dim_Category[CategoryID],0)),"")</f>
        <v/>
      </c>
      <c r="H323">
        <f>IF($C323="","",IF(SignConvention="Negative = Expense",IF($C323&lt;0,"Expense","Income"),IF($C323&gt;0,"Expense","Income")))</f>
        <v/>
      </c>
      <c r="I323" s="27">
        <f>IF($C323="","",ABS($C323))</f>
        <v/>
      </c>
    </row>
    <row r="324">
      <c r="A324" s="37" t="n"/>
      <c r="C324" s="27" t="n"/>
      <c r="D324">
        <f>IF($B324="","",IFERROR(INDEX($D$17:$D$323,MATCH($B324,$B$17:$B$323,0)),""))</f>
        <v/>
      </c>
      <c r="E324">
        <f>IFERROR(INDEX(Dim_Category[CategoryName],MATCH(INDEX(Dim_Vendor[DefaultCategoryID],MATCH($D324,Dim_Vendor[VendorName],0)),Dim_Category[CategoryID],0)),"")</f>
        <v/>
      </c>
      <c r="H324">
        <f>IF($C324="","",IF(SignConvention="Negative = Expense",IF($C324&lt;0,"Expense","Income"),IF($C324&gt;0,"Expense","Income")))</f>
        <v/>
      </c>
      <c r="I324" s="27">
        <f>IF($C324="","",ABS($C324))</f>
        <v/>
      </c>
    </row>
    <row r="325">
      <c r="A325" s="37" t="n"/>
      <c r="C325" s="27" t="n"/>
      <c r="D325">
        <f>IF($B325="","",IFERROR(INDEX($D$17:$D$324,MATCH($B325,$B$17:$B$324,0)),""))</f>
        <v/>
      </c>
      <c r="E325">
        <f>IFERROR(INDEX(Dim_Category[CategoryName],MATCH(INDEX(Dim_Vendor[DefaultCategoryID],MATCH($D325,Dim_Vendor[VendorName],0)),Dim_Category[CategoryID],0)),"")</f>
        <v/>
      </c>
      <c r="H325">
        <f>IF($C325="","",IF(SignConvention="Negative = Expense",IF($C325&lt;0,"Expense","Income"),IF($C325&gt;0,"Expense","Income")))</f>
        <v/>
      </c>
      <c r="I325" s="27">
        <f>IF($C325="","",ABS($C325))</f>
        <v/>
      </c>
    </row>
    <row r="326">
      <c r="A326" s="37" t="n"/>
      <c r="C326" s="27" t="n"/>
      <c r="D326">
        <f>IF($B326="","",IFERROR(INDEX($D$17:$D$325,MATCH($B326,$B$17:$B$325,0)),""))</f>
        <v/>
      </c>
      <c r="E326">
        <f>IFERROR(INDEX(Dim_Category[CategoryName],MATCH(INDEX(Dim_Vendor[DefaultCategoryID],MATCH($D326,Dim_Vendor[VendorName],0)),Dim_Category[CategoryID],0)),"")</f>
        <v/>
      </c>
      <c r="H326">
        <f>IF($C326="","",IF(SignConvention="Negative = Expense",IF($C326&lt;0,"Expense","Income"),IF($C326&gt;0,"Expense","Income")))</f>
        <v/>
      </c>
      <c r="I326" s="27">
        <f>IF($C326="","",ABS($C326))</f>
        <v/>
      </c>
    </row>
    <row r="327">
      <c r="A327" s="37" t="n"/>
      <c r="C327" s="27" t="n"/>
      <c r="D327">
        <f>IF($B327="","",IFERROR(INDEX($D$17:$D$326,MATCH($B327,$B$17:$B$326,0)),""))</f>
        <v/>
      </c>
      <c r="E327">
        <f>IFERROR(INDEX(Dim_Category[CategoryName],MATCH(INDEX(Dim_Vendor[DefaultCategoryID],MATCH($D327,Dim_Vendor[VendorName],0)),Dim_Category[CategoryID],0)),"")</f>
        <v/>
      </c>
      <c r="H327">
        <f>IF($C327="","",IF(SignConvention="Negative = Expense",IF($C327&lt;0,"Expense","Income"),IF($C327&gt;0,"Expense","Income")))</f>
        <v/>
      </c>
      <c r="I327" s="27">
        <f>IF($C327="","",ABS($C327))</f>
        <v/>
      </c>
    </row>
    <row r="328">
      <c r="A328" s="37" t="n"/>
      <c r="C328" s="27" t="n"/>
      <c r="D328">
        <f>IF($B328="","",IFERROR(INDEX($D$17:$D$327,MATCH($B328,$B$17:$B$327,0)),""))</f>
        <v/>
      </c>
      <c r="E328">
        <f>IFERROR(INDEX(Dim_Category[CategoryName],MATCH(INDEX(Dim_Vendor[DefaultCategoryID],MATCH($D328,Dim_Vendor[VendorName],0)),Dim_Category[CategoryID],0)),"")</f>
        <v/>
      </c>
      <c r="H328">
        <f>IF($C328="","",IF(SignConvention="Negative = Expense",IF($C328&lt;0,"Expense","Income"),IF($C328&gt;0,"Expense","Income")))</f>
        <v/>
      </c>
      <c r="I328" s="27">
        <f>IF($C328="","",ABS($C328))</f>
        <v/>
      </c>
    </row>
    <row r="329">
      <c r="A329" s="37" t="n"/>
      <c r="C329" s="27" t="n"/>
      <c r="D329">
        <f>IF($B329="","",IFERROR(INDEX($D$17:$D$328,MATCH($B329,$B$17:$B$328,0)),""))</f>
        <v/>
      </c>
      <c r="E329">
        <f>IFERROR(INDEX(Dim_Category[CategoryName],MATCH(INDEX(Dim_Vendor[DefaultCategoryID],MATCH($D329,Dim_Vendor[VendorName],0)),Dim_Category[CategoryID],0)),"")</f>
        <v/>
      </c>
      <c r="H329">
        <f>IF($C329="","",IF(SignConvention="Negative = Expense",IF($C329&lt;0,"Expense","Income"),IF($C329&gt;0,"Expense","Income")))</f>
        <v/>
      </c>
      <c r="I329" s="27">
        <f>IF($C329="","",ABS($C329))</f>
        <v/>
      </c>
    </row>
    <row r="330">
      <c r="A330" s="37" t="n"/>
      <c r="C330" s="27" t="n"/>
      <c r="D330">
        <f>IF($B330="","",IFERROR(INDEX($D$17:$D$329,MATCH($B330,$B$17:$B$329,0)),""))</f>
        <v/>
      </c>
      <c r="E330">
        <f>IFERROR(INDEX(Dim_Category[CategoryName],MATCH(INDEX(Dim_Vendor[DefaultCategoryID],MATCH($D330,Dim_Vendor[VendorName],0)),Dim_Category[CategoryID],0)),"")</f>
        <v/>
      </c>
      <c r="H330">
        <f>IF($C330="","",IF(SignConvention="Negative = Expense",IF($C330&lt;0,"Expense","Income"),IF($C330&gt;0,"Expense","Income")))</f>
        <v/>
      </c>
      <c r="I330" s="27">
        <f>IF($C330="","",ABS($C330))</f>
        <v/>
      </c>
    </row>
    <row r="331">
      <c r="A331" s="37" t="n"/>
      <c r="C331" s="27" t="n"/>
      <c r="D331">
        <f>IF($B331="","",IFERROR(INDEX($D$17:$D$330,MATCH($B331,$B$17:$B$330,0)),""))</f>
        <v/>
      </c>
      <c r="E331">
        <f>IFERROR(INDEX(Dim_Category[CategoryName],MATCH(INDEX(Dim_Vendor[DefaultCategoryID],MATCH($D331,Dim_Vendor[VendorName],0)),Dim_Category[CategoryID],0)),"")</f>
        <v/>
      </c>
      <c r="H331">
        <f>IF($C331="","",IF(SignConvention="Negative = Expense",IF($C331&lt;0,"Expense","Income"),IF($C331&gt;0,"Expense","Income")))</f>
        <v/>
      </c>
      <c r="I331" s="27">
        <f>IF($C331="","",ABS($C331))</f>
        <v/>
      </c>
    </row>
    <row r="332">
      <c r="A332" s="37" t="n"/>
      <c r="C332" s="27" t="n"/>
      <c r="D332">
        <f>IF($B332="","",IFERROR(INDEX($D$17:$D$331,MATCH($B332,$B$17:$B$331,0)),""))</f>
        <v/>
      </c>
      <c r="E332">
        <f>IFERROR(INDEX(Dim_Category[CategoryName],MATCH(INDEX(Dim_Vendor[DefaultCategoryID],MATCH($D332,Dim_Vendor[VendorName],0)),Dim_Category[CategoryID],0)),"")</f>
        <v/>
      </c>
      <c r="H332">
        <f>IF($C332="","",IF(SignConvention="Negative = Expense",IF($C332&lt;0,"Expense","Income"),IF($C332&gt;0,"Expense","Income")))</f>
        <v/>
      </c>
      <c r="I332" s="27">
        <f>IF($C332="","",ABS($C332))</f>
        <v/>
      </c>
    </row>
    <row r="333">
      <c r="A333" s="37" t="n"/>
      <c r="C333" s="27" t="n"/>
      <c r="D333">
        <f>IF($B333="","",IFERROR(INDEX($D$17:$D$332,MATCH($B333,$B$17:$B$332,0)),""))</f>
        <v/>
      </c>
      <c r="E333">
        <f>IFERROR(INDEX(Dim_Category[CategoryName],MATCH(INDEX(Dim_Vendor[DefaultCategoryID],MATCH($D333,Dim_Vendor[VendorName],0)),Dim_Category[CategoryID],0)),"")</f>
        <v/>
      </c>
      <c r="H333">
        <f>IF($C333="","",IF(SignConvention="Negative = Expense",IF($C333&lt;0,"Expense","Income"),IF($C333&gt;0,"Expense","Income")))</f>
        <v/>
      </c>
      <c r="I333" s="27">
        <f>IF($C333="","",ABS($C333))</f>
        <v/>
      </c>
    </row>
    <row r="334">
      <c r="A334" s="37" t="n"/>
      <c r="C334" s="27" t="n"/>
      <c r="D334">
        <f>IF($B334="","",IFERROR(INDEX($D$17:$D$333,MATCH($B334,$B$17:$B$333,0)),""))</f>
        <v/>
      </c>
      <c r="E334">
        <f>IFERROR(INDEX(Dim_Category[CategoryName],MATCH(INDEX(Dim_Vendor[DefaultCategoryID],MATCH($D334,Dim_Vendor[VendorName],0)),Dim_Category[CategoryID],0)),"")</f>
        <v/>
      </c>
      <c r="H334">
        <f>IF($C334="","",IF(SignConvention="Negative = Expense",IF($C334&lt;0,"Expense","Income"),IF($C334&gt;0,"Expense","Income")))</f>
        <v/>
      </c>
      <c r="I334" s="27">
        <f>IF($C334="","",ABS($C334))</f>
        <v/>
      </c>
    </row>
    <row r="335">
      <c r="A335" s="37" t="n"/>
      <c r="C335" s="27" t="n"/>
      <c r="D335">
        <f>IF($B335="","",IFERROR(INDEX($D$17:$D$334,MATCH($B335,$B$17:$B$334,0)),""))</f>
        <v/>
      </c>
      <c r="E335">
        <f>IFERROR(INDEX(Dim_Category[CategoryName],MATCH(INDEX(Dim_Vendor[DefaultCategoryID],MATCH($D335,Dim_Vendor[VendorName],0)),Dim_Category[CategoryID],0)),"")</f>
        <v/>
      </c>
      <c r="H335">
        <f>IF($C335="","",IF(SignConvention="Negative = Expense",IF($C335&lt;0,"Expense","Income"),IF($C335&gt;0,"Expense","Income")))</f>
        <v/>
      </c>
      <c r="I335" s="27">
        <f>IF($C335="","",ABS($C335))</f>
        <v/>
      </c>
    </row>
    <row r="336">
      <c r="A336" s="37" t="n"/>
      <c r="C336" s="27" t="n"/>
      <c r="D336">
        <f>IF($B336="","",IFERROR(INDEX($D$17:$D$335,MATCH($B336,$B$17:$B$335,0)),""))</f>
        <v/>
      </c>
      <c r="E336">
        <f>IFERROR(INDEX(Dim_Category[CategoryName],MATCH(INDEX(Dim_Vendor[DefaultCategoryID],MATCH($D336,Dim_Vendor[VendorName],0)),Dim_Category[CategoryID],0)),"")</f>
        <v/>
      </c>
      <c r="H336">
        <f>IF($C336="","",IF(SignConvention="Negative = Expense",IF($C336&lt;0,"Expense","Income"),IF($C336&gt;0,"Expense","Income")))</f>
        <v/>
      </c>
      <c r="I336" s="27">
        <f>IF($C336="","",ABS($C336))</f>
        <v/>
      </c>
    </row>
    <row r="337">
      <c r="A337" s="37" t="n"/>
      <c r="C337" s="27" t="n"/>
      <c r="D337">
        <f>IF($B337="","",IFERROR(INDEX($D$17:$D$336,MATCH($B337,$B$17:$B$336,0)),""))</f>
        <v/>
      </c>
      <c r="E337">
        <f>IFERROR(INDEX(Dim_Category[CategoryName],MATCH(INDEX(Dim_Vendor[DefaultCategoryID],MATCH($D337,Dim_Vendor[VendorName],0)),Dim_Category[CategoryID],0)),"")</f>
        <v/>
      </c>
      <c r="H337">
        <f>IF($C337="","",IF(SignConvention="Negative = Expense",IF($C337&lt;0,"Expense","Income"),IF($C337&gt;0,"Expense","Income")))</f>
        <v/>
      </c>
      <c r="I337" s="27">
        <f>IF($C337="","",ABS($C337))</f>
        <v/>
      </c>
    </row>
    <row r="338">
      <c r="A338" s="37" t="n"/>
      <c r="C338" s="27" t="n"/>
      <c r="D338">
        <f>IF($B338="","",IFERROR(INDEX($D$17:$D$337,MATCH($B338,$B$17:$B$337,0)),""))</f>
        <v/>
      </c>
      <c r="E338">
        <f>IFERROR(INDEX(Dim_Category[CategoryName],MATCH(INDEX(Dim_Vendor[DefaultCategoryID],MATCH($D338,Dim_Vendor[VendorName],0)),Dim_Category[CategoryID],0)),"")</f>
        <v/>
      </c>
      <c r="H338">
        <f>IF($C338="","",IF(SignConvention="Negative = Expense",IF($C338&lt;0,"Expense","Income"),IF($C338&gt;0,"Expense","Income")))</f>
        <v/>
      </c>
      <c r="I338" s="27">
        <f>IF($C338="","",ABS($C338))</f>
        <v/>
      </c>
    </row>
    <row r="339">
      <c r="A339" s="37" t="n"/>
      <c r="C339" s="27" t="n"/>
      <c r="D339">
        <f>IF($B339="","",IFERROR(INDEX($D$17:$D$338,MATCH($B339,$B$17:$B$338,0)),""))</f>
        <v/>
      </c>
      <c r="E339">
        <f>IFERROR(INDEX(Dim_Category[CategoryName],MATCH(INDEX(Dim_Vendor[DefaultCategoryID],MATCH($D339,Dim_Vendor[VendorName],0)),Dim_Category[CategoryID],0)),"")</f>
        <v/>
      </c>
      <c r="H339">
        <f>IF($C339="","",IF(SignConvention="Negative = Expense",IF($C339&lt;0,"Expense","Income"),IF($C339&gt;0,"Expense","Income")))</f>
        <v/>
      </c>
      <c r="I339" s="27">
        <f>IF($C339="","",ABS($C339))</f>
        <v/>
      </c>
    </row>
    <row r="340">
      <c r="A340" s="37" t="n"/>
      <c r="C340" s="27" t="n"/>
      <c r="D340">
        <f>IF($B340="","",IFERROR(INDEX($D$17:$D$339,MATCH($B340,$B$17:$B$339,0)),""))</f>
        <v/>
      </c>
      <c r="E340">
        <f>IFERROR(INDEX(Dim_Category[CategoryName],MATCH(INDEX(Dim_Vendor[DefaultCategoryID],MATCH($D340,Dim_Vendor[VendorName],0)),Dim_Category[CategoryID],0)),"")</f>
        <v/>
      </c>
      <c r="H340">
        <f>IF($C340="","",IF(SignConvention="Negative = Expense",IF($C340&lt;0,"Expense","Income"),IF($C340&gt;0,"Expense","Income")))</f>
        <v/>
      </c>
      <c r="I340" s="27">
        <f>IF($C340="","",ABS($C340))</f>
        <v/>
      </c>
    </row>
    <row r="341">
      <c r="A341" s="37" t="n"/>
      <c r="C341" s="27" t="n"/>
      <c r="D341">
        <f>IF($B341="","",IFERROR(INDEX($D$17:$D$340,MATCH($B341,$B$17:$B$340,0)),""))</f>
        <v/>
      </c>
      <c r="E341">
        <f>IFERROR(INDEX(Dim_Category[CategoryName],MATCH(INDEX(Dim_Vendor[DefaultCategoryID],MATCH($D341,Dim_Vendor[VendorName],0)),Dim_Category[CategoryID],0)),"")</f>
        <v/>
      </c>
      <c r="H341">
        <f>IF($C341="","",IF(SignConvention="Negative = Expense",IF($C341&lt;0,"Expense","Income"),IF($C341&gt;0,"Expense","Income")))</f>
        <v/>
      </c>
      <c r="I341" s="27">
        <f>IF($C341="","",ABS($C341))</f>
        <v/>
      </c>
    </row>
    <row r="342">
      <c r="A342" s="37" t="n"/>
      <c r="C342" s="27" t="n"/>
      <c r="D342">
        <f>IF($B342="","",IFERROR(INDEX($D$17:$D$341,MATCH($B342,$B$17:$B$341,0)),""))</f>
        <v/>
      </c>
      <c r="E342">
        <f>IFERROR(INDEX(Dim_Category[CategoryName],MATCH(INDEX(Dim_Vendor[DefaultCategoryID],MATCH($D342,Dim_Vendor[VendorName],0)),Dim_Category[CategoryID],0)),"")</f>
        <v/>
      </c>
      <c r="H342">
        <f>IF($C342="","",IF(SignConvention="Negative = Expense",IF($C342&lt;0,"Expense","Income"),IF($C342&gt;0,"Expense","Income")))</f>
        <v/>
      </c>
      <c r="I342" s="27">
        <f>IF($C342="","",ABS($C342))</f>
        <v/>
      </c>
    </row>
    <row r="343">
      <c r="A343" s="37" t="n"/>
      <c r="C343" s="27" t="n"/>
      <c r="D343">
        <f>IF($B343="","",IFERROR(INDEX($D$17:$D$342,MATCH($B343,$B$17:$B$342,0)),""))</f>
        <v/>
      </c>
      <c r="E343">
        <f>IFERROR(INDEX(Dim_Category[CategoryName],MATCH(INDEX(Dim_Vendor[DefaultCategoryID],MATCH($D343,Dim_Vendor[VendorName],0)),Dim_Category[CategoryID],0)),"")</f>
        <v/>
      </c>
      <c r="H343">
        <f>IF($C343="","",IF(SignConvention="Negative = Expense",IF($C343&lt;0,"Expense","Income"),IF($C343&gt;0,"Expense","Income")))</f>
        <v/>
      </c>
      <c r="I343" s="27">
        <f>IF($C343="","",ABS($C343))</f>
        <v/>
      </c>
    </row>
    <row r="344">
      <c r="A344" s="37" t="n"/>
      <c r="C344" s="27" t="n"/>
      <c r="D344">
        <f>IF($B344="","",IFERROR(INDEX($D$17:$D$343,MATCH($B344,$B$17:$B$343,0)),""))</f>
        <v/>
      </c>
      <c r="E344">
        <f>IFERROR(INDEX(Dim_Category[CategoryName],MATCH(INDEX(Dim_Vendor[DefaultCategoryID],MATCH($D344,Dim_Vendor[VendorName],0)),Dim_Category[CategoryID],0)),"")</f>
        <v/>
      </c>
      <c r="H344">
        <f>IF($C344="","",IF(SignConvention="Negative = Expense",IF($C344&lt;0,"Expense","Income"),IF($C344&gt;0,"Expense","Income")))</f>
        <v/>
      </c>
      <c r="I344" s="27">
        <f>IF($C344="","",ABS($C344))</f>
        <v/>
      </c>
    </row>
    <row r="345">
      <c r="A345" s="37" t="n"/>
      <c r="C345" s="27" t="n"/>
      <c r="D345">
        <f>IF($B345="","",IFERROR(INDEX($D$17:$D$344,MATCH($B345,$B$17:$B$344,0)),""))</f>
        <v/>
      </c>
      <c r="E345">
        <f>IFERROR(INDEX(Dim_Category[CategoryName],MATCH(INDEX(Dim_Vendor[DefaultCategoryID],MATCH($D345,Dim_Vendor[VendorName],0)),Dim_Category[CategoryID],0)),"")</f>
        <v/>
      </c>
      <c r="H345">
        <f>IF($C345="","",IF(SignConvention="Negative = Expense",IF($C345&lt;0,"Expense","Income"),IF($C345&gt;0,"Expense","Income")))</f>
        <v/>
      </c>
      <c r="I345" s="27">
        <f>IF($C345="","",ABS($C345))</f>
        <v/>
      </c>
    </row>
    <row r="346">
      <c r="A346" s="37" t="n"/>
      <c r="C346" s="27" t="n"/>
      <c r="D346">
        <f>IF($B346="","",IFERROR(INDEX($D$17:$D$345,MATCH($B346,$B$17:$B$345,0)),""))</f>
        <v/>
      </c>
      <c r="E346">
        <f>IFERROR(INDEX(Dim_Category[CategoryName],MATCH(INDEX(Dim_Vendor[DefaultCategoryID],MATCH($D346,Dim_Vendor[VendorName],0)),Dim_Category[CategoryID],0)),"")</f>
        <v/>
      </c>
      <c r="H346">
        <f>IF($C346="","",IF(SignConvention="Negative = Expense",IF($C346&lt;0,"Expense","Income"),IF($C346&gt;0,"Expense","Income")))</f>
        <v/>
      </c>
      <c r="I346" s="27">
        <f>IF($C346="","",ABS($C346))</f>
        <v/>
      </c>
    </row>
    <row r="347">
      <c r="A347" s="37" t="n"/>
      <c r="C347" s="27" t="n"/>
      <c r="D347">
        <f>IF($B347="","",IFERROR(INDEX($D$17:$D$346,MATCH($B347,$B$17:$B$346,0)),""))</f>
        <v/>
      </c>
      <c r="E347">
        <f>IFERROR(INDEX(Dim_Category[CategoryName],MATCH(INDEX(Dim_Vendor[DefaultCategoryID],MATCH($D347,Dim_Vendor[VendorName],0)),Dim_Category[CategoryID],0)),"")</f>
        <v/>
      </c>
      <c r="H347">
        <f>IF($C347="","",IF(SignConvention="Negative = Expense",IF($C347&lt;0,"Expense","Income"),IF($C347&gt;0,"Expense","Income")))</f>
        <v/>
      </c>
      <c r="I347" s="27">
        <f>IF($C347="","",ABS($C347))</f>
        <v/>
      </c>
    </row>
    <row r="348">
      <c r="A348" s="37" t="n"/>
      <c r="C348" s="27" t="n"/>
      <c r="D348">
        <f>IF($B348="","",IFERROR(INDEX($D$17:$D$347,MATCH($B348,$B$17:$B$347,0)),""))</f>
        <v/>
      </c>
      <c r="E348">
        <f>IFERROR(INDEX(Dim_Category[CategoryName],MATCH(INDEX(Dim_Vendor[DefaultCategoryID],MATCH($D348,Dim_Vendor[VendorName],0)),Dim_Category[CategoryID],0)),"")</f>
        <v/>
      </c>
      <c r="H348">
        <f>IF($C348="","",IF(SignConvention="Negative = Expense",IF($C348&lt;0,"Expense","Income"),IF($C348&gt;0,"Expense","Income")))</f>
        <v/>
      </c>
      <c r="I348" s="27">
        <f>IF($C348="","",ABS($C348))</f>
        <v/>
      </c>
    </row>
    <row r="349">
      <c r="A349" s="37" t="n"/>
      <c r="C349" s="27" t="n"/>
      <c r="D349">
        <f>IF($B349="","",IFERROR(INDEX($D$17:$D$348,MATCH($B349,$B$17:$B$348,0)),""))</f>
        <v/>
      </c>
      <c r="E349">
        <f>IFERROR(INDEX(Dim_Category[CategoryName],MATCH(INDEX(Dim_Vendor[DefaultCategoryID],MATCH($D349,Dim_Vendor[VendorName],0)),Dim_Category[CategoryID],0)),"")</f>
        <v/>
      </c>
      <c r="H349">
        <f>IF($C349="","",IF(SignConvention="Negative = Expense",IF($C349&lt;0,"Expense","Income"),IF($C349&gt;0,"Expense","Income")))</f>
        <v/>
      </c>
      <c r="I349" s="27">
        <f>IF($C349="","",ABS($C349))</f>
        <v/>
      </c>
    </row>
    <row r="350">
      <c r="A350" s="37" t="n"/>
      <c r="C350" s="27" t="n"/>
      <c r="D350">
        <f>IF($B350="","",IFERROR(INDEX($D$17:$D$349,MATCH($B350,$B$17:$B$349,0)),""))</f>
        <v/>
      </c>
      <c r="E350">
        <f>IFERROR(INDEX(Dim_Category[CategoryName],MATCH(INDEX(Dim_Vendor[DefaultCategoryID],MATCH($D350,Dim_Vendor[VendorName],0)),Dim_Category[CategoryID],0)),"")</f>
        <v/>
      </c>
      <c r="H350">
        <f>IF($C350="","",IF(SignConvention="Negative = Expense",IF($C350&lt;0,"Expense","Income"),IF($C350&gt;0,"Expense","Income")))</f>
        <v/>
      </c>
      <c r="I350" s="27">
        <f>IF($C350="","",ABS($C350))</f>
        <v/>
      </c>
    </row>
    <row r="351">
      <c r="A351" s="37" t="n"/>
      <c r="C351" s="27" t="n"/>
      <c r="D351">
        <f>IF($B351="","",IFERROR(INDEX($D$17:$D$350,MATCH($B351,$B$17:$B$350,0)),""))</f>
        <v/>
      </c>
      <c r="E351">
        <f>IFERROR(INDEX(Dim_Category[CategoryName],MATCH(INDEX(Dim_Vendor[DefaultCategoryID],MATCH($D351,Dim_Vendor[VendorName],0)),Dim_Category[CategoryID],0)),"")</f>
        <v/>
      </c>
      <c r="H351">
        <f>IF($C351="","",IF(SignConvention="Negative = Expense",IF($C351&lt;0,"Expense","Income"),IF($C351&gt;0,"Expense","Income")))</f>
        <v/>
      </c>
      <c r="I351" s="27">
        <f>IF($C351="","",ABS($C351))</f>
        <v/>
      </c>
    </row>
    <row r="352">
      <c r="A352" s="37" t="n"/>
      <c r="C352" s="27" t="n"/>
      <c r="D352">
        <f>IF($B352="","",IFERROR(INDEX($D$17:$D$351,MATCH($B352,$B$17:$B$351,0)),""))</f>
        <v/>
      </c>
      <c r="E352">
        <f>IFERROR(INDEX(Dim_Category[CategoryName],MATCH(INDEX(Dim_Vendor[DefaultCategoryID],MATCH($D352,Dim_Vendor[VendorName],0)),Dim_Category[CategoryID],0)),"")</f>
        <v/>
      </c>
      <c r="H352">
        <f>IF($C352="","",IF(SignConvention="Negative = Expense",IF($C352&lt;0,"Expense","Income"),IF($C352&gt;0,"Expense","Income")))</f>
        <v/>
      </c>
      <c r="I352" s="27">
        <f>IF($C352="","",ABS($C352))</f>
        <v/>
      </c>
    </row>
    <row r="353">
      <c r="A353" s="37" t="n"/>
      <c r="C353" s="27" t="n"/>
      <c r="D353">
        <f>IF($B353="","",IFERROR(INDEX($D$17:$D$352,MATCH($B353,$B$17:$B$352,0)),""))</f>
        <v/>
      </c>
      <c r="E353">
        <f>IFERROR(INDEX(Dim_Category[CategoryName],MATCH(INDEX(Dim_Vendor[DefaultCategoryID],MATCH($D353,Dim_Vendor[VendorName],0)),Dim_Category[CategoryID],0)),"")</f>
        <v/>
      </c>
      <c r="H353">
        <f>IF($C353="","",IF(SignConvention="Negative = Expense",IF($C353&lt;0,"Expense","Income"),IF($C353&gt;0,"Expense","Income")))</f>
        <v/>
      </c>
      <c r="I353" s="27">
        <f>IF($C353="","",ABS($C353))</f>
        <v/>
      </c>
    </row>
    <row r="354">
      <c r="A354" s="37" t="n"/>
      <c r="C354" s="27" t="n"/>
      <c r="D354">
        <f>IF($B354="","",IFERROR(INDEX($D$17:$D$353,MATCH($B354,$B$17:$B$353,0)),""))</f>
        <v/>
      </c>
      <c r="E354">
        <f>IFERROR(INDEX(Dim_Category[CategoryName],MATCH(INDEX(Dim_Vendor[DefaultCategoryID],MATCH($D354,Dim_Vendor[VendorName],0)),Dim_Category[CategoryID],0)),"")</f>
        <v/>
      </c>
      <c r="H354">
        <f>IF($C354="","",IF(SignConvention="Negative = Expense",IF($C354&lt;0,"Expense","Income"),IF($C354&gt;0,"Expense","Income")))</f>
        <v/>
      </c>
      <c r="I354" s="27">
        <f>IF($C354="","",ABS($C354))</f>
        <v/>
      </c>
    </row>
    <row r="355">
      <c r="A355" s="37" t="n"/>
      <c r="C355" s="27" t="n"/>
      <c r="D355">
        <f>IF($B355="","",IFERROR(INDEX($D$17:$D$354,MATCH($B355,$B$17:$B$354,0)),""))</f>
        <v/>
      </c>
      <c r="E355">
        <f>IFERROR(INDEX(Dim_Category[CategoryName],MATCH(INDEX(Dim_Vendor[DefaultCategoryID],MATCH($D355,Dim_Vendor[VendorName],0)),Dim_Category[CategoryID],0)),"")</f>
        <v/>
      </c>
      <c r="H355">
        <f>IF($C355="","",IF(SignConvention="Negative = Expense",IF($C355&lt;0,"Expense","Income"),IF($C355&gt;0,"Expense","Income")))</f>
        <v/>
      </c>
      <c r="I355" s="27">
        <f>IF($C355="","",ABS($C355))</f>
        <v/>
      </c>
    </row>
    <row r="356">
      <c r="A356" s="37" t="n"/>
      <c r="C356" s="27" t="n"/>
      <c r="D356">
        <f>IF($B356="","",IFERROR(INDEX($D$17:$D$355,MATCH($B356,$B$17:$B$355,0)),""))</f>
        <v/>
      </c>
      <c r="E356">
        <f>IFERROR(INDEX(Dim_Category[CategoryName],MATCH(INDEX(Dim_Vendor[DefaultCategoryID],MATCH($D356,Dim_Vendor[VendorName],0)),Dim_Category[CategoryID],0)),"")</f>
        <v/>
      </c>
      <c r="H356">
        <f>IF($C356="","",IF(SignConvention="Negative = Expense",IF($C356&lt;0,"Expense","Income"),IF($C356&gt;0,"Expense","Income")))</f>
        <v/>
      </c>
      <c r="I356" s="27">
        <f>IF($C356="","",ABS($C356))</f>
        <v/>
      </c>
    </row>
    <row r="357">
      <c r="A357" s="37" t="n"/>
      <c r="C357" s="27" t="n"/>
      <c r="D357">
        <f>IF($B357="","",IFERROR(INDEX($D$17:$D$356,MATCH($B357,$B$17:$B$356,0)),""))</f>
        <v/>
      </c>
      <c r="E357">
        <f>IFERROR(INDEX(Dim_Category[CategoryName],MATCH(INDEX(Dim_Vendor[DefaultCategoryID],MATCH($D357,Dim_Vendor[VendorName],0)),Dim_Category[CategoryID],0)),"")</f>
        <v/>
      </c>
      <c r="H357">
        <f>IF($C357="","",IF(SignConvention="Negative = Expense",IF($C357&lt;0,"Expense","Income"),IF($C357&gt;0,"Expense","Income")))</f>
        <v/>
      </c>
      <c r="I357" s="27">
        <f>IF($C357="","",ABS($C357))</f>
        <v/>
      </c>
    </row>
    <row r="358">
      <c r="A358" s="37" t="n"/>
      <c r="C358" s="27" t="n"/>
      <c r="D358">
        <f>IF($B358="","",IFERROR(INDEX($D$17:$D$357,MATCH($B358,$B$17:$B$357,0)),""))</f>
        <v/>
      </c>
      <c r="E358">
        <f>IFERROR(INDEX(Dim_Category[CategoryName],MATCH(INDEX(Dim_Vendor[DefaultCategoryID],MATCH($D358,Dim_Vendor[VendorName],0)),Dim_Category[CategoryID],0)),"")</f>
        <v/>
      </c>
      <c r="H358">
        <f>IF($C358="","",IF(SignConvention="Negative = Expense",IF($C358&lt;0,"Expense","Income"),IF($C358&gt;0,"Expense","Income")))</f>
        <v/>
      </c>
      <c r="I358" s="27">
        <f>IF($C358="","",ABS($C358))</f>
        <v/>
      </c>
    </row>
    <row r="359">
      <c r="A359" s="37" t="n"/>
      <c r="C359" s="27" t="n"/>
      <c r="D359">
        <f>IF($B359="","",IFERROR(INDEX($D$17:$D$358,MATCH($B359,$B$17:$B$358,0)),""))</f>
        <v/>
      </c>
      <c r="E359">
        <f>IFERROR(INDEX(Dim_Category[CategoryName],MATCH(INDEX(Dim_Vendor[DefaultCategoryID],MATCH($D359,Dim_Vendor[VendorName],0)),Dim_Category[CategoryID],0)),"")</f>
        <v/>
      </c>
      <c r="H359">
        <f>IF($C359="","",IF(SignConvention="Negative = Expense",IF($C359&lt;0,"Expense","Income"),IF($C359&gt;0,"Expense","Income")))</f>
        <v/>
      </c>
      <c r="I359" s="27">
        <f>IF($C359="","",ABS($C359))</f>
        <v/>
      </c>
    </row>
    <row r="360">
      <c r="A360" s="37" t="n"/>
      <c r="C360" s="27" t="n"/>
      <c r="D360">
        <f>IF($B360="","",IFERROR(INDEX($D$17:$D$359,MATCH($B360,$B$17:$B$359,0)),""))</f>
        <v/>
      </c>
      <c r="E360">
        <f>IFERROR(INDEX(Dim_Category[CategoryName],MATCH(INDEX(Dim_Vendor[DefaultCategoryID],MATCH($D360,Dim_Vendor[VendorName],0)),Dim_Category[CategoryID],0)),"")</f>
        <v/>
      </c>
      <c r="H360">
        <f>IF($C360="","",IF(SignConvention="Negative = Expense",IF($C360&lt;0,"Expense","Income"),IF($C360&gt;0,"Expense","Income")))</f>
        <v/>
      </c>
      <c r="I360" s="27">
        <f>IF($C360="","",ABS($C360))</f>
        <v/>
      </c>
    </row>
    <row r="361">
      <c r="A361" s="37" t="n"/>
      <c r="C361" s="27" t="n"/>
      <c r="D361">
        <f>IF($B361="","",IFERROR(INDEX($D$17:$D$360,MATCH($B361,$B$17:$B$360,0)),""))</f>
        <v/>
      </c>
      <c r="E361">
        <f>IFERROR(INDEX(Dim_Category[CategoryName],MATCH(INDEX(Dim_Vendor[DefaultCategoryID],MATCH($D361,Dim_Vendor[VendorName],0)),Dim_Category[CategoryID],0)),"")</f>
        <v/>
      </c>
      <c r="H361">
        <f>IF($C361="","",IF(SignConvention="Negative = Expense",IF($C361&lt;0,"Expense","Income"),IF($C361&gt;0,"Expense","Income")))</f>
        <v/>
      </c>
      <c r="I361" s="27">
        <f>IF($C361="","",ABS($C361))</f>
        <v/>
      </c>
    </row>
    <row r="362">
      <c r="A362" s="37" t="n"/>
      <c r="C362" s="27" t="n"/>
      <c r="D362">
        <f>IF($B362="","",IFERROR(INDEX($D$17:$D$361,MATCH($B362,$B$17:$B$361,0)),""))</f>
        <v/>
      </c>
      <c r="E362">
        <f>IFERROR(INDEX(Dim_Category[CategoryName],MATCH(INDEX(Dim_Vendor[DefaultCategoryID],MATCH($D362,Dim_Vendor[VendorName],0)),Dim_Category[CategoryID],0)),"")</f>
        <v/>
      </c>
      <c r="H362">
        <f>IF($C362="","",IF(SignConvention="Negative = Expense",IF($C362&lt;0,"Expense","Income"),IF($C362&gt;0,"Expense","Income")))</f>
        <v/>
      </c>
      <c r="I362" s="27">
        <f>IF($C362="","",ABS($C362))</f>
        <v/>
      </c>
    </row>
    <row r="363">
      <c r="A363" s="37" t="n"/>
      <c r="C363" s="27" t="n"/>
      <c r="D363">
        <f>IF($B363="","",IFERROR(INDEX($D$17:$D$362,MATCH($B363,$B$17:$B$362,0)),""))</f>
        <v/>
      </c>
      <c r="E363">
        <f>IFERROR(INDEX(Dim_Category[CategoryName],MATCH(INDEX(Dim_Vendor[DefaultCategoryID],MATCH($D363,Dim_Vendor[VendorName],0)),Dim_Category[CategoryID],0)),"")</f>
        <v/>
      </c>
      <c r="H363">
        <f>IF($C363="","",IF(SignConvention="Negative = Expense",IF($C363&lt;0,"Expense","Income"),IF($C363&gt;0,"Expense","Income")))</f>
        <v/>
      </c>
      <c r="I363" s="27">
        <f>IF($C363="","",ABS($C363))</f>
        <v/>
      </c>
    </row>
    <row r="364">
      <c r="A364" s="37" t="n"/>
      <c r="C364" s="27" t="n"/>
      <c r="D364">
        <f>IF($B364="","",IFERROR(INDEX($D$17:$D$363,MATCH($B364,$B$17:$B$363,0)),""))</f>
        <v/>
      </c>
      <c r="E364">
        <f>IFERROR(INDEX(Dim_Category[CategoryName],MATCH(INDEX(Dim_Vendor[DefaultCategoryID],MATCH($D364,Dim_Vendor[VendorName],0)),Dim_Category[CategoryID],0)),"")</f>
        <v/>
      </c>
      <c r="H364">
        <f>IF($C364="","",IF(SignConvention="Negative = Expense",IF($C364&lt;0,"Expense","Income"),IF($C364&gt;0,"Expense","Income")))</f>
        <v/>
      </c>
      <c r="I364" s="27">
        <f>IF($C364="","",ABS($C364))</f>
        <v/>
      </c>
    </row>
    <row r="365">
      <c r="A365" s="37" t="n"/>
      <c r="C365" s="27" t="n"/>
      <c r="D365">
        <f>IF($B365="","",IFERROR(INDEX($D$17:$D$364,MATCH($B365,$B$17:$B$364,0)),""))</f>
        <v/>
      </c>
      <c r="E365">
        <f>IFERROR(INDEX(Dim_Category[CategoryName],MATCH(INDEX(Dim_Vendor[DefaultCategoryID],MATCH($D365,Dim_Vendor[VendorName],0)),Dim_Category[CategoryID],0)),"")</f>
        <v/>
      </c>
      <c r="H365">
        <f>IF($C365="","",IF(SignConvention="Negative = Expense",IF($C365&lt;0,"Expense","Income"),IF($C365&gt;0,"Expense","Income")))</f>
        <v/>
      </c>
      <c r="I365" s="27">
        <f>IF($C365="","",ABS($C365))</f>
        <v/>
      </c>
    </row>
    <row r="366">
      <c r="A366" s="37" t="n"/>
      <c r="C366" s="27" t="n"/>
      <c r="D366">
        <f>IF($B366="","",IFERROR(INDEX($D$17:$D$365,MATCH($B366,$B$17:$B$365,0)),""))</f>
        <v/>
      </c>
      <c r="E366">
        <f>IFERROR(INDEX(Dim_Category[CategoryName],MATCH(INDEX(Dim_Vendor[DefaultCategoryID],MATCH($D366,Dim_Vendor[VendorName],0)),Dim_Category[CategoryID],0)),"")</f>
        <v/>
      </c>
      <c r="H366">
        <f>IF($C366="","",IF(SignConvention="Negative = Expense",IF($C366&lt;0,"Expense","Income"),IF($C366&gt;0,"Expense","Income")))</f>
        <v/>
      </c>
      <c r="I366" s="27">
        <f>IF($C366="","",ABS($C366))</f>
        <v/>
      </c>
    </row>
    <row r="367">
      <c r="A367" s="37" t="n"/>
      <c r="C367" s="27" t="n"/>
      <c r="D367">
        <f>IF($B367="","",IFERROR(INDEX($D$17:$D$366,MATCH($B367,$B$17:$B$366,0)),""))</f>
        <v/>
      </c>
      <c r="E367">
        <f>IFERROR(INDEX(Dim_Category[CategoryName],MATCH(INDEX(Dim_Vendor[DefaultCategoryID],MATCH($D367,Dim_Vendor[VendorName],0)),Dim_Category[CategoryID],0)),"")</f>
        <v/>
      </c>
      <c r="H367">
        <f>IF($C367="","",IF(SignConvention="Negative = Expense",IF($C367&lt;0,"Expense","Income"),IF($C367&gt;0,"Expense","Income")))</f>
        <v/>
      </c>
      <c r="I367" s="27">
        <f>IF($C367="","",ABS($C367))</f>
        <v/>
      </c>
    </row>
    <row r="368">
      <c r="A368" s="37" t="n"/>
      <c r="C368" s="27" t="n"/>
      <c r="D368">
        <f>IF($B368="","",IFERROR(INDEX($D$17:$D$367,MATCH($B368,$B$17:$B$367,0)),""))</f>
        <v/>
      </c>
      <c r="E368">
        <f>IFERROR(INDEX(Dim_Category[CategoryName],MATCH(INDEX(Dim_Vendor[DefaultCategoryID],MATCH($D368,Dim_Vendor[VendorName],0)),Dim_Category[CategoryID],0)),"")</f>
        <v/>
      </c>
      <c r="H368">
        <f>IF($C368="","",IF(SignConvention="Negative = Expense",IF($C368&lt;0,"Expense","Income"),IF($C368&gt;0,"Expense","Income")))</f>
        <v/>
      </c>
      <c r="I368" s="27">
        <f>IF($C368="","",ABS($C368))</f>
        <v/>
      </c>
    </row>
    <row r="369">
      <c r="A369" s="37" t="n"/>
      <c r="C369" s="27" t="n"/>
      <c r="D369">
        <f>IF($B369="","",IFERROR(INDEX($D$17:$D$368,MATCH($B369,$B$17:$B$368,0)),""))</f>
        <v/>
      </c>
      <c r="E369">
        <f>IFERROR(INDEX(Dim_Category[CategoryName],MATCH(INDEX(Dim_Vendor[DefaultCategoryID],MATCH($D369,Dim_Vendor[VendorName],0)),Dim_Category[CategoryID],0)),"")</f>
        <v/>
      </c>
      <c r="H369">
        <f>IF($C369="","",IF(SignConvention="Negative = Expense",IF($C369&lt;0,"Expense","Income"),IF($C369&gt;0,"Expense","Income")))</f>
        <v/>
      </c>
      <c r="I369" s="27">
        <f>IF($C369="","",ABS($C369))</f>
        <v/>
      </c>
    </row>
    <row r="370">
      <c r="A370" s="37" t="n"/>
      <c r="C370" s="27" t="n"/>
      <c r="D370">
        <f>IF($B370="","",IFERROR(INDEX($D$17:$D$369,MATCH($B370,$B$17:$B$369,0)),""))</f>
        <v/>
      </c>
      <c r="E370">
        <f>IFERROR(INDEX(Dim_Category[CategoryName],MATCH(INDEX(Dim_Vendor[DefaultCategoryID],MATCH($D370,Dim_Vendor[VendorName],0)),Dim_Category[CategoryID],0)),"")</f>
        <v/>
      </c>
      <c r="H370">
        <f>IF($C370="","",IF(SignConvention="Negative = Expense",IF($C370&lt;0,"Expense","Income"),IF($C370&gt;0,"Expense","Income")))</f>
        <v/>
      </c>
      <c r="I370" s="27">
        <f>IF($C370="","",ABS($C370))</f>
        <v/>
      </c>
    </row>
    <row r="371">
      <c r="A371" s="37" t="n"/>
      <c r="C371" s="27" t="n"/>
      <c r="D371">
        <f>IF($B371="","",IFERROR(INDEX($D$17:$D$370,MATCH($B371,$B$17:$B$370,0)),""))</f>
        <v/>
      </c>
      <c r="E371">
        <f>IFERROR(INDEX(Dim_Category[CategoryName],MATCH(INDEX(Dim_Vendor[DefaultCategoryID],MATCH($D371,Dim_Vendor[VendorName],0)),Dim_Category[CategoryID],0)),"")</f>
        <v/>
      </c>
      <c r="H371">
        <f>IF($C371="","",IF(SignConvention="Negative = Expense",IF($C371&lt;0,"Expense","Income"),IF($C371&gt;0,"Expense","Income")))</f>
        <v/>
      </c>
      <c r="I371" s="27">
        <f>IF($C371="","",ABS($C371))</f>
        <v/>
      </c>
    </row>
    <row r="372">
      <c r="A372" s="37" t="n"/>
      <c r="C372" s="27" t="n"/>
      <c r="D372">
        <f>IF($B372="","",IFERROR(INDEX($D$17:$D$371,MATCH($B372,$B$17:$B$371,0)),""))</f>
        <v/>
      </c>
      <c r="E372">
        <f>IFERROR(INDEX(Dim_Category[CategoryName],MATCH(INDEX(Dim_Vendor[DefaultCategoryID],MATCH($D372,Dim_Vendor[VendorName],0)),Dim_Category[CategoryID],0)),"")</f>
        <v/>
      </c>
      <c r="H372">
        <f>IF($C372="","",IF(SignConvention="Negative = Expense",IF($C372&lt;0,"Expense","Income"),IF($C372&gt;0,"Expense","Income")))</f>
        <v/>
      </c>
      <c r="I372" s="27">
        <f>IF($C372="","",ABS($C372))</f>
        <v/>
      </c>
    </row>
    <row r="373">
      <c r="A373" s="37" t="n"/>
      <c r="C373" s="27" t="n"/>
      <c r="D373">
        <f>IF($B373="","",IFERROR(INDEX($D$17:$D$372,MATCH($B373,$B$17:$B$372,0)),""))</f>
        <v/>
      </c>
      <c r="E373">
        <f>IFERROR(INDEX(Dim_Category[CategoryName],MATCH(INDEX(Dim_Vendor[DefaultCategoryID],MATCH($D373,Dim_Vendor[VendorName],0)),Dim_Category[CategoryID],0)),"")</f>
        <v/>
      </c>
      <c r="H373">
        <f>IF($C373="","",IF(SignConvention="Negative = Expense",IF($C373&lt;0,"Expense","Income"),IF($C373&gt;0,"Expense","Income")))</f>
        <v/>
      </c>
      <c r="I373" s="27">
        <f>IF($C373="","",ABS($C373))</f>
        <v/>
      </c>
    </row>
    <row r="374">
      <c r="A374" s="37" t="n"/>
      <c r="C374" s="27" t="n"/>
      <c r="D374">
        <f>IF($B374="","",IFERROR(INDEX($D$17:$D$373,MATCH($B374,$B$17:$B$373,0)),""))</f>
        <v/>
      </c>
      <c r="E374">
        <f>IFERROR(INDEX(Dim_Category[CategoryName],MATCH(INDEX(Dim_Vendor[DefaultCategoryID],MATCH($D374,Dim_Vendor[VendorName],0)),Dim_Category[CategoryID],0)),"")</f>
        <v/>
      </c>
      <c r="H374">
        <f>IF($C374="","",IF(SignConvention="Negative = Expense",IF($C374&lt;0,"Expense","Income"),IF($C374&gt;0,"Expense","Income")))</f>
        <v/>
      </c>
      <c r="I374" s="27">
        <f>IF($C374="","",ABS($C374))</f>
        <v/>
      </c>
    </row>
    <row r="375">
      <c r="A375" s="37" t="n"/>
      <c r="C375" s="27" t="n"/>
      <c r="D375">
        <f>IF($B375="","",IFERROR(INDEX($D$17:$D$374,MATCH($B375,$B$17:$B$374,0)),""))</f>
        <v/>
      </c>
      <c r="E375">
        <f>IFERROR(INDEX(Dim_Category[CategoryName],MATCH(INDEX(Dim_Vendor[DefaultCategoryID],MATCH($D375,Dim_Vendor[VendorName],0)),Dim_Category[CategoryID],0)),"")</f>
        <v/>
      </c>
      <c r="H375">
        <f>IF($C375="","",IF(SignConvention="Negative = Expense",IF($C375&lt;0,"Expense","Income"),IF($C375&gt;0,"Expense","Income")))</f>
        <v/>
      </c>
      <c r="I375" s="27">
        <f>IF($C375="","",ABS($C375))</f>
        <v/>
      </c>
    </row>
    <row r="376">
      <c r="A376" s="37" t="n"/>
      <c r="C376" s="27" t="n"/>
      <c r="D376">
        <f>IF($B376="","",IFERROR(INDEX($D$17:$D$375,MATCH($B376,$B$17:$B$375,0)),""))</f>
        <v/>
      </c>
      <c r="E376">
        <f>IFERROR(INDEX(Dim_Category[CategoryName],MATCH(INDEX(Dim_Vendor[DefaultCategoryID],MATCH($D376,Dim_Vendor[VendorName],0)),Dim_Category[CategoryID],0)),"")</f>
        <v/>
      </c>
      <c r="H376">
        <f>IF($C376="","",IF(SignConvention="Negative = Expense",IF($C376&lt;0,"Expense","Income"),IF($C376&gt;0,"Expense","Income")))</f>
        <v/>
      </c>
      <c r="I376" s="27">
        <f>IF($C376="","",ABS($C376))</f>
        <v/>
      </c>
    </row>
    <row r="377">
      <c r="A377" s="37" t="n"/>
      <c r="C377" s="27" t="n"/>
      <c r="D377">
        <f>IF($B377="","",IFERROR(INDEX($D$17:$D$376,MATCH($B377,$B$17:$B$376,0)),""))</f>
        <v/>
      </c>
      <c r="E377">
        <f>IFERROR(INDEX(Dim_Category[CategoryName],MATCH(INDEX(Dim_Vendor[DefaultCategoryID],MATCH($D377,Dim_Vendor[VendorName],0)),Dim_Category[CategoryID],0)),"")</f>
        <v/>
      </c>
      <c r="H377">
        <f>IF($C377="","",IF(SignConvention="Negative = Expense",IF($C377&lt;0,"Expense","Income"),IF($C377&gt;0,"Expense","Income")))</f>
        <v/>
      </c>
      <c r="I377" s="27">
        <f>IF($C377="","",ABS($C377))</f>
        <v/>
      </c>
    </row>
    <row r="378">
      <c r="A378" s="37" t="n"/>
      <c r="C378" s="27" t="n"/>
      <c r="D378">
        <f>IF($B378="","",IFERROR(INDEX($D$17:$D$377,MATCH($B378,$B$17:$B$377,0)),""))</f>
        <v/>
      </c>
      <c r="E378">
        <f>IFERROR(INDEX(Dim_Category[CategoryName],MATCH(INDEX(Dim_Vendor[DefaultCategoryID],MATCH($D378,Dim_Vendor[VendorName],0)),Dim_Category[CategoryID],0)),"")</f>
        <v/>
      </c>
      <c r="H378">
        <f>IF($C378="","",IF(SignConvention="Negative = Expense",IF($C378&lt;0,"Expense","Income"),IF($C378&gt;0,"Expense","Income")))</f>
        <v/>
      </c>
      <c r="I378" s="27">
        <f>IF($C378="","",ABS($C378))</f>
        <v/>
      </c>
    </row>
    <row r="379">
      <c r="A379" s="37" t="n"/>
      <c r="C379" s="27" t="n"/>
      <c r="D379">
        <f>IF($B379="","",IFERROR(INDEX($D$17:$D$378,MATCH($B379,$B$17:$B$378,0)),""))</f>
        <v/>
      </c>
      <c r="E379">
        <f>IFERROR(INDEX(Dim_Category[CategoryName],MATCH(INDEX(Dim_Vendor[DefaultCategoryID],MATCH($D379,Dim_Vendor[VendorName],0)),Dim_Category[CategoryID],0)),"")</f>
        <v/>
      </c>
      <c r="H379">
        <f>IF($C379="","",IF(SignConvention="Negative = Expense",IF($C379&lt;0,"Expense","Income"),IF($C379&gt;0,"Expense","Income")))</f>
        <v/>
      </c>
      <c r="I379" s="27">
        <f>IF($C379="","",ABS($C379))</f>
        <v/>
      </c>
    </row>
    <row r="380">
      <c r="A380" s="37" t="n"/>
      <c r="C380" s="27" t="n"/>
      <c r="D380">
        <f>IF($B380="","",IFERROR(INDEX($D$17:$D$379,MATCH($B380,$B$17:$B$379,0)),""))</f>
        <v/>
      </c>
      <c r="E380">
        <f>IFERROR(INDEX(Dim_Category[CategoryName],MATCH(INDEX(Dim_Vendor[DefaultCategoryID],MATCH($D380,Dim_Vendor[VendorName],0)),Dim_Category[CategoryID],0)),"")</f>
        <v/>
      </c>
      <c r="H380">
        <f>IF($C380="","",IF(SignConvention="Negative = Expense",IF($C380&lt;0,"Expense","Income"),IF($C380&gt;0,"Expense","Income")))</f>
        <v/>
      </c>
      <c r="I380" s="27">
        <f>IF($C380="","",ABS($C380))</f>
        <v/>
      </c>
    </row>
    <row r="381">
      <c r="A381" s="37" t="n"/>
      <c r="C381" s="27" t="n"/>
      <c r="D381">
        <f>IF($B381="","",IFERROR(INDEX($D$17:$D$380,MATCH($B381,$B$17:$B$380,0)),""))</f>
        <v/>
      </c>
      <c r="E381">
        <f>IFERROR(INDEX(Dim_Category[CategoryName],MATCH(INDEX(Dim_Vendor[DefaultCategoryID],MATCH($D381,Dim_Vendor[VendorName],0)),Dim_Category[CategoryID],0)),"")</f>
        <v/>
      </c>
      <c r="H381">
        <f>IF($C381="","",IF(SignConvention="Negative = Expense",IF($C381&lt;0,"Expense","Income"),IF($C381&gt;0,"Expense","Income")))</f>
        <v/>
      </c>
      <c r="I381" s="27">
        <f>IF($C381="","",ABS($C381))</f>
        <v/>
      </c>
    </row>
    <row r="382">
      <c r="A382" s="37" t="n"/>
      <c r="C382" s="27" t="n"/>
      <c r="D382">
        <f>IF($B382="","",IFERROR(INDEX($D$17:$D$381,MATCH($B382,$B$17:$B$381,0)),""))</f>
        <v/>
      </c>
      <c r="E382">
        <f>IFERROR(INDEX(Dim_Category[CategoryName],MATCH(INDEX(Dim_Vendor[DefaultCategoryID],MATCH($D382,Dim_Vendor[VendorName],0)),Dim_Category[CategoryID],0)),"")</f>
        <v/>
      </c>
      <c r="H382">
        <f>IF($C382="","",IF(SignConvention="Negative = Expense",IF($C382&lt;0,"Expense","Income"),IF($C382&gt;0,"Expense","Income")))</f>
        <v/>
      </c>
      <c r="I382" s="27">
        <f>IF($C382="","",ABS($C382))</f>
        <v/>
      </c>
    </row>
    <row r="383">
      <c r="A383" s="37" t="n"/>
      <c r="C383" s="27" t="n"/>
      <c r="D383">
        <f>IF($B383="","",IFERROR(INDEX($D$17:$D$382,MATCH($B383,$B$17:$B$382,0)),""))</f>
        <v/>
      </c>
      <c r="E383">
        <f>IFERROR(INDEX(Dim_Category[CategoryName],MATCH(INDEX(Dim_Vendor[DefaultCategoryID],MATCH($D383,Dim_Vendor[VendorName],0)),Dim_Category[CategoryID],0)),"")</f>
        <v/>
      </c>
      <c r="H383">
        <f>IF($C383="","",IF(SignConvention="Negative = Expense",IF($C383&lt;0,"Expense","Income"),IF($C383&gt;0,"Expense","Income")))</f>
        <v/>
      </c>
      <c r="I383" s="27">
        <f>IF($C383="","",ABS($C383))</f>
        <v/>
      </c>
    </row>
    <row r="384">
      <c r="A384" s="37" t="n"/>
      <c r="C384" s="27" t="n"/>
      <c r="D384">
        <f>IF($B384="","",IFERROR(INDEX($D$17:$D$383,MATCH($B384,$B$17:$B$383,0)),""))</f>
        <v/>
      </c>
      <c r="E384">
        <f>IFERROR(INDEX(Dim_Category[CategoryName],MATCH(INDEX(Dim_Vendor[DefaultCategoryID],MATCH($D384,Dim_Vendor[VendorName],0)),Dim_Category[CategoryID],0)),"")</f>
        <v/>
      </c>
      <c r="H384">
        <f>IF($C384="","",IF(SignConvention="Negative = Expense",IF($C384&lt;0,"Expense","Income"),IF($C384&gt;0,"Expense","Income")))</f>
        <v/>
      </c>
      <c r="I384" s="27">
        <f>IF($C384="","",ABS($C384))</f>
        <v/>
      </c>
    </row>
    <row r="385">
      <c r="A385" s="37" t="n"/>
      <c r="C385" s="27" t="n"/>
      <c r="D385">
        <f>IF($B385="","",IFERROR(INDEX($D$17:$D$384,MATCH($B385,$B$17:$B$384,0)),""))</f>
        <v/>
      </c>
      <c r="E385">
        <f>IFERROR(INDEX(Dim_Category[CategoryName],MATCH(INDEX(Dim_Vendor[DefaultCategoryID],MATCH($D385,Dim_Vendor[VendorName],0)),Dim_Category[CategoryID],0)),"")</f>
        <v/>
      </c>
      <c r="H385">
        <f>IF($C385="","",IF(SignConvention="Negative = Expense",IF($C385&lt;0,"Expense","Income"),IF($C385&gt;0,"Expense","Income")))</f>
        <v/>
      </c>
      <c r="I385" s="27">
        <f>IF($C385="","",ABS($C385))</f>
        <v/>
      </c>
    </row>
    <row r="386">
      <c r="A386" s="37" t="n"/>
      <c r="C386" s="27" t="n"/>
      <c r="D386">
        <f>IF($B386="","",IFERROR(INDEX($D$17:$D$385,MATCH($B386,$B$17:$B$385,0)),""))</f>
        <v/>
      </c>
      <c r="E386">
        <f>IFERROR(INDEX(Dim_Category[CategoryName],MATCH(INDEX(Dim_Vendor[DefaultCategoryID],MATCH($D386,Dim_Vendor[VendorName],0)),Dim_Category[CategoryID],0)),"")</f>
        <v/>
      </c>
      <c r="H386">
        <f>IF($C386="","",IF(SignConvention="Negative = Expense",IF($C386&lt;0,"Expense","Income"),IF($C386&gt;0,"Expense","Income")))</f>
        <v/>
      </c>
      <c r="I386" s="27">
        <f>IF($C386="","",ABS($C386))</f>
        <v/>
      </c>
    </row>
    <row r="387">
      <c r="A387" s="37" t="n"/>
      <c r="C387" s="27" t="n"/>
      <c r="D387">
        <f>IF($B387="","",IFERROR(INDEX($D$17:$D$386,MATCH($B387,$B$17:$B$386,0)),""))</f>
        <v/>
      </c>
      <c r="E387">
        <f>IFERROR(INDEX(Dim_Category[CategoryName],MATCH(INDEX(Dim_Vendor[DefaultCategoryID],MATCH($D387,Dim_Vendor[VendorName],0)),Dim_Category[CategoryID],0)),"")</f>
        <v/>
      </c>
      <c r="H387">
        <f>IF($C387="","",IF(SignConvention="Negative = Expense",IF($C387&lt;0,"Expense","Income"),IF($C387&gt;0,"Expense","Income")))</f>
        <v/>
      </c>
      <c r="I387" s="27">
        <f>IF($C387="","",ABS($C387))</f>
        <v/>
      </c>
    </row>
    <row r="388">
      <c r="A388" s="37" t="n"/>
      <c r="C388" s="27" t="n"/>
      <c r="D388">
        <f>IF($B388="","",IFERROR(INDEX($D$17:$D$387,MATCH($B388,$B$17:$B$387,0)),""))</f>
        <v/>
      </c>
      <c r="E388">
        <f>IFERROR(INDEX(Dim_Category[CategoryName],MATCH(INDEX(Dim_Vendor[DefaultCategoryID],MATCH($D388,Dim_Vendor[VendorName],0)),Dim_Category[CategoryID],0)),"")</f>
        <v/>
      </c>
      <c r="H388">
        <f>IF($C388="","",IF(SignConvention="Negative = Expense",IF($C388&lt;0,"Expense","Income"),IF($C388&gt;0,"Expense","Income")))</f>
        <v/>
      </c>
      <c r="I388" s="27">
        <f>IF($C388="","",ABS($C388))</f>
        <v/>
      </c>
    </row>
    <row r="389">
      <c r="A389" s="37" t="n"/>
      <c r="C389" s="27" t="n"/>
      <c r="D389">
        <f>IF($B389="","",IFERROR(INDEX($D$17:$D$388,MATCH($B389,$B$17:$B$388,0)),""))</f>
        <v/>
      </c>
      <c r="E389">
        <f>IFERROR(INDEX(Dim_Category[CategoryName],MATCH(INDEX(Dim_Vendor[DefaultCategoryID],MATCH($D389,Dim_Vendor[VendorName],0)),Dim_Category[CategoryID],0)),"")</f>
        <v/>
      </c>
      <c r="H389">
        <f>IF($C389="","",IF(SignConvention="Negative = Expense",IF($C389&lt;0,"Expense","Income"),IF($C389&gt;0,"Expense","Income")))</f>
        <v/>
      </c>
      <c r="I389" s="27">
        <f>IF($C389="","",ABS($C389))</f>
        <v/>
      </c>
    </row>
    <row r="390">
      <c r="A390" s="37" t="n"/>
      <c r="C390" s="27" t="n"/>
      <c r="D390">
        <f>IF($B390="","",IFERROR(INDEX($D$17:$D$389,MATCH($B390,$B$17:$B$389,0)),""))</f>
        <v/>
      </c>
      <c r="E390">
        <f>IFERROR(INDEX(Dim_Category[CategoryName],MATCH(INDEX(Dim_Vendor[DefaultCategoryID],MATCH($D390,Dim_Vendor[VendorName],0)),Dim_Category[CategoryID],0)),"")</f>
        <v/>
      </c>
      <c r="H390">
        <f>IF($C390="","",IF(SignConvention="Negative = Expense",IF($C390&lt;0,"Expense","Income"),IF($C390&gt;0,"Expense","Income")))</f>
        <v/>
      </c>
      <c r="I390" s="27">
        <f>IF($C390="","",ABS($C390))</f>
        <v/>
      </c>
    </row>
    <row r="391">
      <c r="A391" s="37" t="n"/>
      <c r="C391" s="27" t="n"/>
      <c r="D391">
        <f>IF($B391="","",IFERROR(INDEX($D$17:$D$390,MATCH($B391,$B$17:$B$390,0)),""))</f>
        <v/>
      </c>
      <c r="E391">
        <f>IFERROR(INDEX(Dim_Category[CategoryName],MATCH(INDEX(Dim_Vendor[DefaultCategoryID],MATCH($D391,Dim_Vendor[VendorName],0)),Dim_Category[CategoryID],0)),"")</f>
        <v/>
      </c>
      <c r="H391">
        <f>IF($C391="","",IF(SignConvention="Negative = Expense",IF($C391&lt;0,"Expense","Income"),IF($C391&gt;0,"Expense","Income")))</f>
        <v/>
      </c>
      <c r="I391" s="27">
        <f>IF($C391="","",ABS($C391))</f>
        <v/>
      </c>
    </row>
    <row r="392">
      <c r="A392" s="37" t="n"/>
      <c r="C392" s="27" t="n"/>
      <c r="D392">
        <f>IF($B392="","",IFERROR(INDEX($D$17:$D$391,MATCH($B392,$B$17:$B$391,0)),""))</f>
        <v/>
      </c>
      <c r="E392">
        <f>IFERROR(INDEX(Dim_Category[CategoryName],MATCH(INDEX(Dim_Vendor[DefaultCategoryID],MATCH($D392,Dim_Vendor[VendorName],0)),Dim_Category[CategoryID],0)),"")</f>
        <v/>
      </c>
      <c r="H392">
        <f>IF($C392="","",IF(SignConvention="Negative = Expense",IF($C392&lt;0,"Expense","Income"),IF($C392&gt;0,"Expense","Income")))</f>
        <v/>
      </c>
      <c r="I392" s="27">
        <f>IF($C392="","",ABS($C392))</f>
        <v/>
      </c>
    </row>
    <row r="393">
      <c r="A393" s="37" t="n"/>
      <c r="C393" s="27" t="n"/>
      <c r="D393">
        <f>IF($B393="","",IFERROR(INDEX($D$17:$D$392,MATCH($B393,$B$17:$B$392,0)),""))</f>
        <v/>
      </c>
      <c r="E393">
        <f>IFERROR(INDEX(Dim_Category[CategoryName],MATCH(INDEX(Dim_Vendor[DefaultCategoryID],MATCH($D393,Dim_Vendor[VendorName],0)),Dim_Category[CategoryID],0)),"")</f>
        <v/>
      </c>
      <c r="H393">
        <f>IF($C393="","",IF(SignConvention="Negative = Expense",IF($C393&lt;0,"Expense","Income"),IF($C393&gt;0,"Expense","Income")))</f>
        <v/>
      </c>
      <c r="I393" s="27">
        <f>IF($C393="","",ABS($C393))</f>
        <v/>
      </c>
    </row>
    <row r="394">
      <c r="A394" s="37" t="n"/>
      <c r="C394" s="27" t="n"/>
      <c r="D394">
        <f>IF($B394="","",IFERROR(INDEX($D$17:$D$393,MATCH($B394,$B$17:$B$393,0)),""))</f>
        <v/>
      </c>
      <c r="E394">
        <f>IFERROR(INDEX(Dim_Category[CategoryName],MATCH(INDEX(Dim_Vendor[DefaultCategoryID],MATCH($D394,Dim_Vendor[VendorName],0)),Dim_Category[CategoryID],0)),"")</f>
        <v/>
      </c>
      <c r="H394">
        <f>IF($C394="","",IF(SignConvention="Negative = Expense",IF($C394&lt;0,"Expense","Income"),IF($C394&gt;0,"Expense","Income")))</f>
        <v/>
      </c>
      <c r="I394" s="27">
        <f>IF($C394="","",ABS($C394))</f>
        <v/>
      </c>
    </row>
    <row r="395">
      <c r="A395" s="37" t="n"/>
      <c r="C395" s="27" t="n"/>
      <c r="D395">
        <f>IF($B395="","",IFERROR(INDEX($D$17:$D$394,MATCH($B395,$B$17:$B$394,0)),""))</f>
        <v/>
      </c>
      <c r="E395">
        <f>IFERROR(INDEX(Dim_Category[CategoryName],MATCH(INDEX(Dim_Vendor[DefaultCategoryID],MATCH($D395,Dim_Vendor[VendorName],0)),Dim_Category[CategoryID],0)),"")</f>
        <v/>
      </c>
      <c r="H395">
        <f>IF($C395="","",IF(SignConvention="Negative = Expense",IF($C395&lt;0,"Expense","Income"),IF($C395&gt;0,"Expense","Income")))</f>
        <v/>
      </c>
      <c r="I395" s="27">
        <f>IF($C395="","",ABS($C395))</f>
        <v/>
      </c>
    </row>
    <row r="396">
      <c r="A396" s="37" t="n"/>
      <c r="C396" s="27" t="n"/>
      <c r="D396">
        <f>IF($B396="","",IFERROR(INDEX($D$17:$D$395,MATCH($B396,$B$17:$B$395,0)),""))</f>
        <v/>
      </c>
      <c r="E396">
        <f>IFERROR(INDEX(Dim_Category[CategoryName],MATCH(INDEX(Dim_Vendor[DefaultCategoryID],MATCH($D396,Dim_Vendor[VendorName],0)),Dim_Category[CategoryID],0)),"")</f>
        <v/>
      </c>
      <c r="H396">
        <f>IF($C396="","",IF(SignConvention="Negative = Expense",IF($C396&lt;0,"Expense","Income"),IF($C396&gt;0,"Expense","Income")))</f>
        <v/>
      </c>
      <c r="I396" s="27">
        <f>IF($C396="","",ABS($C396))</f>
        <v/>
      </c>
    </row>
    <row r="397">
      <c r="A397" s="37" t="n"/>
      <c r="C397" s="27" t="n"/>
      <c r="D397">
        <f>IF($B397="","",IFERROR(INDEX($D$17:$D$396,MATCH($B397,$B$17:$B$396,0)),""))</f>
        <v/>
      </c>
      <c r="E397">
        <f>IFERROR(INDEX(Dim_Category[CategoryName],MATCH(INDEX(Dim_Vendor[DefaultCategoryID],MATCH($D397,Dim_Vendor[VendorName],0)),Dim_Category[CategoryID],0)),"")</f>
        <v/>
      </c>
      <c r="H397">
        <f>IF($C397="","",IF(SignConvention="Negative = Expense",IF($C397&lt;0,"Expense","Income"),IF($C397&gt;0,"Expense","Income")))</f>
        <v/>
      </c>
      <c r="I397" s="27">
        <f>IF($C397="","",ABS($C397))</f>
        <v/>
      </c>
    </row>
    <row r="398">
      <c r="A398" s="37" t="n"/>
      <c r="C398" s="27" t="n"/>
      <c r="D398">
        <f>IF($B398="","",IFERROR(INDEX($D$17:$D$397,MATCH($B398,$B$17:$B$397,0)),""))</f>
        <v/>
      </c>
      <c r="E398">
        <f>IFERROR(INDEX(Dim_Category[CategoryName],MATCH(INDEX(Dim_Vendor[DefaultCategoryID],MATCH($D398,Dim_Vendor[VendorName],0)),Dim_Category[CategoryID],0)),"")</f>
        <v/>
      </c>
      <c r="H398">
        <f>IF($C398="","",IF(SignConvention="Negative = Expense",IF($C398&lt;0,"Expense","Income"),IF($C398&gt;0,"Expense","Income")))</f>
        <v/>
      </c>
      <c r="I398" s="27">
        <f>IF($C398="","",ABS($C398))</f>
        <v/>
      </c>
    </row>
    <row r="399">
      <c r="A399" s="37" t="n"/>
      <c r="C399" s="27" t="n"/>
      <c r="D399">
        <f>IF($B399="","",IFERROR(INDEX($D$17:$D$398,MATCH($B399,$B$17:$B$398,0)),""))</f>
        <v/>
      </c>
      <c r="E399">
        <f>IFERROR(INDEX(Dim_Category[CategoryName],MATCH(INDEX(Dim_Vendor[DefaultCategoryID],MATCH($D399,Dim_Vendor[VendorName],0)),Dim_Category[CategoryID],0)),"")</f>
        <v/>
      </c>
      <c r="H399">
        <f>IF($C399="","",IF(SignConvention="Negative = Expense",IF($C399&lt;0,"Expense","Income"),IF($C399&gt;0,"Expense","Income")))</f>
        <v/>
      </c>
      <c r="I399" s="27">
        <f>IF($C399="","",ABS($C399))</f>
        <v/>
      </c>
    </row>
    <row r="400">
      <c r="A400" s="37" t="n"/>
      <c r="C400" s="27" t="n"/>
      <c r="D400">
        <f>IF($B400="","",IFERROR(INDEX($D$17:$D$399,MATCH($B400,$B$17:$B$399,0)),""))</f>
        <v/>
      </c>
      <c r="E400">
        <f>IFERROR(INDEX(Dim_Category[CategoryName],MATCH(INDEX(Dim_Vendor[DefaultCategoryID],MATCH($D400,Dim_Vendor[VendorName],0)),Dim_Category[CategoryID],0)),"")</f>
        <v/>
      </c>
      <c r="H400">
        <f>IF($C400="","",IF(SignConvention="Negative = Expense",IF($C400&lt;0,"Expense","Income"),IF($C400&gt;0,"Expense","Income")))</f>
        <v/>
      </c>
      <c r="I400" s="27">
        <f>IF($C400="","",ABS($C400))</f>
        <v/>
      </c>
    </row>
    <row r="401">
      <c r="A401" s="37" t="n"/>
      <c r="C401" s="27" t="n"/>
      <c r="D401">
        <f>IF($B401="","",IFERROR(INDEX($D$17:$D$400,MATCH($B401,$B$17:$B$400,0)),""))</f>
        <v/>
      </c>
      <c r="E401">
        <f>IFERROR(INDEX(Dim_Category[CategoryName],MATCH(INDEX(Dim_Vendor[DefaultCategoryID],MATCH($D401,Dim_Vendor[VendorName],0)),Dim_Category[CategoryID],0)),"")</f>
        <v/>
      </c>
      <c r="H401">
        <f>IF($C401="","",IF(SignConvention="Negative = Expense",IF($C401&lt;0,"Expense","Income"),IF($C401&gt;0,"Expense","Income")))</f>
        <v/>
      </c>
      <c r="I401" s="27">
        <f>IF($C401="","",ABS($C401))</f>
        <v/>
      </c>
    </row>
    <row r="402">
      <c r="A402" s="37" t="n"/>
      <c r="C402" s="27" t="n"/>
      <c r="D402">
        <f>IF($B402="","",IFERROR(INDEX($D$17:$D$401,MATCH($B402,$B$17:$B$401,0)),""))</f>
        <v/>
      </c>
      <c r="E402">
        <f>IFERROR(INDEX(Dim_Category[CategoryName],MATCH(INDEX(Dim_Vendor[DefaultCategoryID],MATCH($D402,Dim_Vendor[VendorName],0)),Dim_Category[CategoryID],0)),"")</f>
        <v/>
      </c>
      <c r="H402">
        <f>IF($C402="","",IF(SignConvention="Negative = Expense",IF($C402&lt;0,"Expense","Income"),IF($C402&gt;0,"Expense","Income")))</f>
        <v/>
      </c>
      <c r="I402" s="27">
        <f>IF($C402="","",ABS($C402))</f>
        <v/>
      </c>
    </row>
    <row r="403">
      <c r="A403" s="37" t="n"/>
      <c r="C403" s="27" t="n"/>
      <c r="D403">
        <f>IF($B403="","",IFERROR(INDEX($D$17:$D$402,MATCH($B403,$B$17:$B$402,0)),""))</f>
        <v/>
      </c>
      <c r="E403">
        <f>IFERROR(INDEX(Dim_Category[CategoryName],MATCH(INDEX(Dim_Vendor[DefaultCategoryID],MATCH($D403,Dim_Vendor[VendorName],0)),Dim_Category[CategoryID],0)),"")</f>
        <v/>
      </c>
      <c r="H403">
        <f>IF($C403="","",IF(SignConvention="Negative = Expense",IF($C403&lt;0,"Expense","Income"),IF($C403&gt;0,"Expense","Income")))</f>
        <v/>
      </c>
      <c r="I403" s="27">
        <f>IF($C403="","",ABS($C403))</f>
        <v/>
      </c>
    </row>
    <row r="404">
      <c r="A404" s="37" t="n"/>
      <c r="C404" s="27" t="n"/>
      <c r="D404">
        <f>IF($B404="","",IFERROR(INDEX($D$17:$D$403,MATCH($B404,$B$17:$B$403,0)),""))</f>
        <v/>
      </c>
      <c r="E404">
        <f>IFERROR(INDEX(Dim_Category[CategoryName],MATCH(INDEX(Dim_Vendor[DefaultCategoryID],MATCH($D404,Dim_Vendor[VendorName],0)),Dim_Category[CategoryID],0)),"")</f>
        <v/>
      </c>
      <c r="H404">
        <f>IF($C404="","",IF(SignConvention="Negative = Expense",IF($C404&lt;0,"Expense","Income"),IF($C404&gt;0,"Expense","Income")))</f>
        <v/>
      </c>
      <c r="I404" s="27">
        <f>IF($C404="","",ABS($C404))</f>
        <v/>
      </c>
    </row>
    <row r="405">
      <c r="A405" s="37" t="n"/>
      <c r="C405" s="27" t="n"/>
      <c r="D405">
        <f>IF($B405="","",IFERROR(INDEX($D$17:$D$404,MATCH($B405,$B$17:$B$404,0)),""))</f>
        <v/>
      </c>
      <c r="E405">
        <f>IFERROR(INDEX(Dim_Category[CategoryName],MATCH(INDEX(Dim_Vendor[DefaultCategoryID],MATCH($D405,Dim_Vendor[VendorName],0)),Dim_Category[CategoryID],0)),"")</f>
        <v/>
      </c>
      <c r="H405">
        <f>IF($C405="","",IF(SignConvention="Negative = Expense",IF($C405&lt;0,"Expense","Income"),IF($C405&gt;0,"Expense","Income")))</f>
        <v/>
      </c>
      <c r="I405" s="27">
        <f>IF($C405="","",ABS($C405))</f>
        <v/>
      </c>
    </row>
    <row r="406">
      <c r="A406" s="37" t="n"/>
      <c r="C406" s="27" t="n"/>
      <c r="D406">
        <f>IF($B406="","",IFERROR(INDEX($D$17:$D$405,MATCH($B406,$B$17:$B$405,0)),""))</f>
        <v/>
      </c>
      <c r="E406">
        <f>IFERROR(INDEX(Dim_Category[CategoryName],MATCH(INDEX(Dim_Vendor[DefaultCategoryID],MATCH($D406,Dim_Vendor[VendorName],0)),Dim_Category[CategoryID],0)),"")</f>
        <v/>
      </c>
      <c r="H406">
        <f>IF($C406="","",IF(SignConvention="Negative = Expense",IF($C406&lt;0,"Expense","Income"),IF($C406&gt;0,"Expense","Income")))</f>
        <v/>
      </c>
      <c r="I406" s="27">
        <f>IF($C406="","",ABS($C406))</f>
        <v/>
      </c>
    </row>
    <row r="407">
      <c r="A407" s="37" t="n"/>
      <c r="C407" s="27" t="n"/>
      <c r="D407">
        <f>IF($B407="","",IFERROR(INDEX($D$17:$D$406,MATCH($B407,$B$17:$B$406,0)),""))</f>
        <v/>
      </c>
      <c r="E407">
        <f>IFERROR(INDEX(Dim_Category[CategoryName],MATCH(INDEX(Dim_Vendor[DefaultCategoryID],MATCH($D407,Dim_Vendor[VendorName],0)),Dim_Category[CategoryID],0)),"")</f>
        <v/>
      </c>
      <c r="H407">
        <f>IF($C407="","",IF(SignConvention="Negative = Expense",IF($C407&lt;0,"Expense","Income"),IF($C407&gt;0,"Expense","Income")))</f>
        <v/>
      </c>
      <c r="I407" s="27">
        <f>IF($C407="","",ABS($C407))</f>
        <v/>
      </c>
    </row>
    <row r="408">
      <c r="A408" s="37" t="n"/>
      <c r="C408" s="27" t="n"/>
      <c r="D408">
        <f>IF($B408="","",IFERROR(INDEX($D$17:$D$407,MATCH($B408,$B$17:$B$407,0)),""))</f>
        <v/>
      </c>
      <c r="E408">
        <f>IFERROR(INDEX(Dim_Category[CategoryName],MATCH(INDEX(Dim_Vendor[DefaultCategoryID],MATCH($D408,Dim_Vendor[VendorName],0)),Dim_Category[CategoryID],0)),"")</f>
        <v/>
      </c>
      <c r="H408">
        <f>IF($C408="","",IF(SignConvention="Negative = Expense",IF($C408&lt;0,"Expense","Income"),IF($C408&gt;0,"Expense","Income")))</f>
        <v/>
      </c>
      <c r="I408" s="27">
        <f>IF($C408="","",ABS($C408))</f>
        <v/>
      </c>
    </row>
    <row r="409">
      <c r="A409" s="37" t="n"/>
      <c r="C409" s="27" t="n"/>
      <c r="D409">
        <f>IF($B409="","",IFERROR(INDEX($D$17:$D$408,MATCH($B409,$B$17:$B$408,0)),""))</f>
        <v/>
      </c>
      <c r="E409">
        <f>IFERROR(INDEX(Dim_Category[CategoryName],MATCH(INDEX(Dim_Vendor[DefaultCategoryID],MATCH($D409,Dim_Vendor[VendorName],0)),Dim_Category[CategoryID],0)),"")</f>
        <v/>
      </c>
      <c r="H409">
        <f>IF($C409="","",IF(SignConvention="Negative = Expense",IF($C409&lt;0,"Expense","Income"),IF($C409&gt;0,"Expense","Income")))</f>
        <v/>
      </c>
      <c r="I409" s="27">
        <f>IF($C409="","",ABS($C409))</f>
        <v/>
      </c>
    </row>
    <row r="410">
      <c r="A410" s="37" t="n"/>
      <c r="C410" s="27" t="n"/>
      <c r="D410">
        <f>IF($B410="","",IFERROR(INDEX($D$17:$D$409,MATCH($B410,$B$17:$B$409,0)),""))</f>
        <v/>
      </c>
      <c r="E410">
        <f>IFERROR(INDEX(Dim_Category[CategoryName],MATCH(INDEX(Dim_Vendor[DefaultCategoryID],MATCH($D410,Dim_Vendor[VendorName],0)),Dim_Category[CategoryID],0)),"")</f>
        <v/>
      </c>
      <c r="H410">
        <f>IF($C410="","",IF(SignConvention="Negative = Expense",IF($C410&lt;0,"Expense","Income"),IF($C410&gt;0,"Expense","Income")))</f>
        <v/>
      </c>
      <c r="I410" s="27">
        <f>IF($C410="","",ABS($C410))</f>
        <v/>
      </c>
    </row>
    <row r="411">
      <c r="A411" s="37" t="n"/>
      <c r="C411" s="27" t="n"/>
      <c r="D411">
        <f>IF($B411="","",IFERROR(INDEX($D$17:$D$410,MATCH($B411,$B$17:$B$410,0)),""))</f>
        <v/>
      </c>
      <c r="E411">
        <f>IFERROR(INDEX(Dim_Category[CategoryName],MATCH(INDEX(Dim_Vendor[DefaultCategoryID],MATCH($D411,Dim_Vendor[VendorName],0)),Dim_Category[CategoryID],0)),"")</f>
        <v/>
      </c>
      <c r="H411">
        <f>IF($C411="","",IF(SignConvention="Negative = Expense",IF($C411&lt;0,"Expense","Income"),IF($C411&gt;0,"Expense","Income")))</f>
        <v/>
      </c>
      <c r="I411" s="27">
        <f>IF($C411="","",ABS($C411))</f>
        <v/>
      </c>
    </row>
    <row r="412">
      <c r="A412" s="37" t="n"/>
      <c r="C412" s="27" t="n"/>
      <c r="D412">
        <f>IF($B412="","",IFERROR(INDEX($D$17:$D$411,MATCH($B412,$B$17:$B$411,0)),""))</f>
        <v/>
      </c>
      <c r="E412">
        <f>IFERROR(INDEX(Dim_Category[CategoryName],MATCH(INDEX(Dim_Vendor[DefaultCategoryID],MATCH($D412,Dim_Vendor[VendorName],0)),Dim_Category[CategoryID],0)),"")</f>
        <v/>
      </c>
      <c r="H412">
        <f>IF($C412="","",IF(SignConvention="Negative = Expense",IF($C412&lt;0,"Expense","Income"),IF($C412&gt;0,"Expense","Income")))</f>
        <v/>
      </c>
      <c r="I412" s="27">
        <f>IF($C412="","",ABS($C412))</f>
        <v/>
      </c>
    </row>
    <row r="413">
      <c r="A413" s="37" t="n"/>
      <c r="C413" s="27" t="n"/>
      <c r="D413">
        <f>IF($B413="","",IFERROR(INDEX($D$17:$D$412,MATCH($B413,$B$17:$B$412,0)),""))</f>
        <v/>
      </c>
      <c r="E413">
        <f>IFERROR(INDEX(Dim_Category[CategoryName],MATCH(INDEX(Dim_Vendor[DefaultCategoryID],MATCH($D413,Dim_Vendor[VendorName],0)),Dim_Category[CategoryID],0)),"")</f>
        <v/>
      </c>
      <c r="H413">
        <f>IF($C413="","",IF(SignConvention="Negative = Expense",IF($C413&lt;0,"Expense","Income"),IF($C413&gt;0,"Expense","Income")))</f>
        <v/>
      </c>
      <c r="I413" s="27">
        <f>IF($C413="","",ABS($C413))</f>
        <v/>
      </c>
    </row>
    <row r="414">
      <c r="A414" s="37" t="n"/>
      <c r="C414" s="27" t="n"/>
      <c r="D414">
        <f>IF($B414="","",IFERROR(INDEX($D$17:$D$413,MATCH($B414,$B$17:$B$413,0)),""))</f>
        <v/>
      </c>
      <c r="E414">
        <f>IFERROR(INDEX(Dim_Category[CategoryName],MATCH(INDEX(Dim_Vendor[DefaultCategoryID],MATCH($D414,Dim_Vendor[VendorName],0)),Dim_Category[CategoryID],0)),"")</f>
        <v/>
      </c>
      <c r="H414">
        <f>IF($C414="","",IF(SignConvention="Negative = Expense",IF($C414&lt;0,"Expense","Income"),IF($C414&gt;0,"Expense","Income")))</f>
        <v/>
      </c>
      <c r="I414" s="27">
        <f>IF($C414="","",ABS($C414))</f>
        <v/>
      </c>
    </row>
    <row r="415">
      <c r="A415" s="37" t="n"/>
      <c r="C415" s="27" t="n"/>
      <c r="D415">
        <f>IF($B415="","",IFERROR(INDEX($D$17:$D$414,MATCH($B415,$B$17:$B$414,0)),""))</f>
        <v/>
      </c>
      <c r="E415">
        <f>IFERROR(INDEX(Dim_Category[CategoryName],MATCH(INDEX(Dim_Vendor[DefaultCategoryID],MATCH($D415,Dim_Vendor[VendorName],0)),Dim_Category[CategoryID],0)),"")</f>
        <v/>
      </c>
      <c r="H415">
        <f>IF($C415="","",IF(SignConvention="Negative = Expense",IF($C415&lt;0,"Expense","Income"),IF($C415&gt;0,"Expense","Income")))</f>
        <v/>
      </c>
      <c r="I415" s="27">
        <f>IF($C415="","",ABS($C415))</f>
        <v/>
      </c>
    </row>
    <row r="416">
      <c r="A416" s="37" t="n"/>
      <c r="C416" s="27" t="n"/>
      <c r="D416">
        <f>IF($B416="","",IFERROR(INDEX($D$17:$D$415,MATCH($B416,$B$17:$B$415,0)),""))</f>
        <v/>
      </c>
      <c r="E416">
        <f>IFERROR(INDEX(Dim_Category[CategoryName],MATCH(INDEX(Dim_Vendor[DefaultCategoryID],MATCH($D416,Dim_Vendor[VendorName],0)),Dim_Category[CategoryID],0)),"")</f>
        <v/>
      </c>
      <c r="H416">
        <f>IF($C416="","",IF(SignConvention="Negative = Expense",IF($C416&lt;0,"Expense","Income"),IF($C416&gt;0,"Expense","Income")))</f>
        <v/>
      </c>
      <c r="I416" s="27">
        <f>IF($C416="","",ABS($C416))</f>
        <v/>
      </c>
    </row>
    <row r="417">
      <c r="A417" s="37" t="n"/>
      <c r="C417" s="27" t="n"/>
      <c r="D417">
        <f>IF($B417="","",IFERROR(INDEX($D$17:$D$416,MATCH($B417,$B$17:$B$416,0)),""))</f>
        <v/>
      </c>
      <c r="E417">
        <f>IFERROR(INDEX(Dim_Category[CategoryName],MATCH(INDEX(Dim_Vendor[DefaultCategoryID],MATCH($D417,Dim_Vendor[VendorName],0)),Dim_Category[CategoryID],0)),"")</f>
        <v/>
      </c>
      <c r="H417">
        <f>IF($C417="","",IF(SignConvention="Negative = Expense",IF($C417&lt;0,"Expense","Income"),IF($C417&gt;0,"Expense","Income")))</f>
        <v/>
      </c>
      <c r="I417" s="27">
        <f>IF($C417="","",ABS($C417))</f>
        <v/>
      </c>
    </row>
    <row r="418">
      <c r="A418" s="37" t="n"/>
      <c r="C418" s="27" t="n"/>
      <c r="D418">
        <f>IF($B418="","",IFERROR(INDEX($D$17:$D$417,MATCH($B418,$B$17:$B$417,0)),""))</f>
        <v/>
      </c>
      <c r="E418">
        <f>IFERROR(INDEX(Dim_Category[CategoryName],MATCH(INDEX(Dim_Vendor[DefaultCategoryID],MATCH($D418,Dim_Vendor[VendorName],0)),Dim_Category[CategoryID],0)),"")</f>
        <v/>
      </c>
      <c r="H418">
        <f>IF($C418="","",IF(SignConvention="Negative = Expense",IF($C418&lt;0,"Expense","Income"),IF($C418&gt;0,"Expense","Income")))</f>
        <v/>
      </c>
      <c r="I418" s="27">
        <f>IF($C418="","",ABS($C418))</f>
        <v/>
      </c>
    </row>
    <row r="419">
      <c r="A419" s="37" t="n"/>
      <c r="C419" s="27" t="n"/>
      <c r="D419">
        <f>IF($B419="","",IFERROR(INDEX($D$17:$D$418,MATCH($B419,$B$17:$B$418,0)),""))</f>
        <v/>
      </c>
      <c r="E419">
        <f>IFERROR(INDEX(Dim_Category[CategoryName],MATCH(INDEX(Dim_Vendor[DefaultCategoryID],MATCH($D419,Dim_Vendor[VendorName],0)),Dim_Category[CategoryID],0)),"")</f>
        <v/>
      </c>
      <c r="H419">
        <f>IF($C419="","",IF(SignConvention="Negative = Expense",IF($C419&lt;0,"Expense","Income"),IF($C419&gt;0,"Expense","Income")))</f>
        <v/>
      </c>
      <c r="I419" s="27">
        <f>IF($C419="","",ABS($C419))</f>
        <v/>
      </c>
    </row>
    <row r="420">
      <c r="A420" s="37" t="n"/>
      <c r="C420" s="27" t="n"/>
      <c r="D420">
        <f>IF($B420="","",IFERROR(INDEX($D$17:$D$419,MATCH($B420,$B$17:$B$419,0)),""))</f>
        <v/>
      </c>
      <c r="E420">
        <f>IFERROR(INDEX(Dim_Category[CategoryName],MATCH(INDEX(Dim_Vendor[DefaultCategoryID],MATCH($D420,Dim_Vendor[VendorName],0)),Dim_Category[CategoryID],0)),"")</f>
        <v/>
      </c>
      <c r="H420">
        <f>IF($C420="","",IF(SignConvention="Negative = Expense",IF($C420&lt;0,"Expense","Income"),IF($C420&gt;0,"Expense","Income")))</f>
        <v/>
      </c>
      <c r="I420" s="27">
        <f>IF($C420="","",ABS($C420))</f>
        <v/>
      </c>
    </row>
    <row r="421">
      <c r="A421" s="37" t="n"/>
      <c r="C421" s="27" t="n"/>
      <c r="D421">
        <f>IF($B421="","",IFERROR(INDEX($D$17:$D$420,MATCH($B421,$B$17:$B$420,0)),""))</f>
        <v/>
      </c>
      <c r="E421">
        <f>IFERROR(INDEX(Dim_Category[CategoryName],MATCH(INDEX(Dim_Vendor[DefaultCategoryID],MATCH($D421,Dim_Vendor[VendorName],0)),Dim_Category[CategoryID],0)),"")</f>
        <v/>
      </c>
      <c r="H421">
        <f>IF($C421="","",IF(SignConvention="Negative = Expense",IF($C421&lt;0,"Expense","Income"),IF($C421&gt;0,"Expense","Income")))</f>
        <v/>
      </c>
      <c r="I421" s="27">
        <f>IF($C421="","",ABS($C421))</f>
        <v/>
      </c>
    </row>
    <row r="422">
      <c r="A422" s="37" t="n"/>
      <c r="C422" s="27" t="n"/>
      <c r="D422">
        <f>IF($B422="","",IFERROR(INDEX($D$17:$D$421,MATCH($B422,$B$17:$B$421,0)),""))</f>
        <v/>
      </c>
      <c r="E422">
        <f>IFERROR(INDEX(Dim_Category[CategoryName],MATCH(INDEX(Dim_Vendor[DefaultCategoryID],MATCH($D422,Dim_Vendor[VendorName],0)),Dim_Category[CategoryID],0)),"")</f>
        <v/>
      </c>
      <c r="H422">
        <f>IF($C422="","",IF(SignConvention="Negative = Expense",IF($C422&lt;0,"Expense","Income"),IF($C422&gt;0,"Expense","Income")))</f>
        <v/>
      </c>
      <c r="I422" s="27">
        <f>IF($C422="","",ABS($C422))</f>
        <v/>
      </c>
    </row>
    <row r="423">
      <c r="A423" s="37" t="n"/>
      <c r="C423" s="27" t="n"/>
      <c r="D423">
        <f>IF($B423="","",IFERROR(INDEX($D$17:$D$422,MATCH($B423,$B$17:$B$422,0)),""))</f>
        <v/>
      </c>
      <c r="E423">
        <f>IFERROR(INDEX(Dim_Category[CategoryName],MATCH(INDEX(Dim_Vendor[DefaultCategoryID],MATCH($D423,Dim_Vendor[VendorName],0)),Dim_Category[CategoryID],0)),"")</f>
        <v/>
      </c>
      <c r="H423">
        <f>IF($C423="","",IF(SignConvention="Negative = Expense",IF($C423&lt;0,"Expense","Income"),IF($C423&gt;0,"Expense","Income")))</f>
        <v/>
      </c>
      <c r="I423" s="27">
        <f>IF($C423="","",ABS($C423))</f>
        <v/>
      </c>
    </row>
    <row r="424">
      <c r="A424" s="37" t="n"/>
      <c r="C424" s="27" t="n"/>
      <c r="D424">
        <f>IF($B424="","",IFERROR(INDEX($D$17:$D$423,MATCH($B424,$B$17:$B$423,0)),""))</f>
        <v/>
      </c>
      <c r="E424">
        <f>IFERROR(INDEX(Dim_Category[CategoryName],MATCH(INDEX(Dim_Vendor[DefaultCategoryID],MATCH($D424,Dim_Vendor[VendorName],0)),Dim_Category[CategoryID],0)),"")</f>
        <v/>
      </c>
      <c r="H424">
        <f>IF($C424="","",IF(SignConvention="Negative = Expense",IF($C424&lt;0,"Expense","Income"),IF($C424&gt;0,"Expense","Income")))</f>
        <v/>
      </c>
      <c r="I424" s="27">
        <f>IF($C424="","",ABS($C424))</f>
        <v/>
      </c>
    </row>
    <row r="425">
      <c r="A425" s="37" t="n"/>
      <c r="C425" s="27" t="n"/>
      <c r="D425">
        <f>IF($B425="","",IFERROR(INDEX($D$17:$D$424,MATCH($B425,$B$17:$B$424,0)),""))</f>
        <v/>
      </c>
      <c r="E425">
        <f>IFERROR(INDEX(Dim_Category[CategoryName],MATCH(INDEX(Dim_Vendor[DefaultCategoryID],MATCH($D425,Dim_Vendor[VendorName],0)),Dim_Category[CategoryID],0)),"")</f>
        <v/>
      </c>
      <c r="H425">
        <f>IF($C425="","",IF(SignConvention="Negative = Expense",IF($C425&lt;0,"Expense","Income"),IF($C425&gt;0,"Expense","Income")))</f>
        <v/>
      </c>
      <c r="I425" s="27">
        <f>IF($C425="","",ABS($C425))</f>
        <v/>
      </c>
    </row>
    <row r="426">
      <c r="A426" s="37" t="n"/>
      <c r="C426" s="27" t="n"/>
      <c r="D426">
        <f>IF($B426="","",IFERROR(INDEX($D$17:$D$425,MATCH($B426,$B$17:$B$425,0)),""))</f>
        <v/>
      </c>
      <c r="E426">
        <f>IFERROR(INDEX(Dim_Category[CategoryName],MATCH(INDEX(Dim_Vendor[DefaultCategoryID],MATCH($D426,Dim_Vendor[VendorName],0)),Dim_Category[CategoryID],0)),"")</f>
        <v/>
      </c>
      <c r="H426">
        <f>IF($C426="","",IF(SignConvention="Negative = Expense",IF($C426&lt;0,"Expense","Income"),IF($C426&gt;0,"Expense","Income")))</f>
        <v/>
      </c>
      <c r="I426" s="27">
        <f>IF($C426="","",ABS($C426))</f>
        <v/>
      </c>
    </row>
    <row r="427">
      <c r="A427" s="37" t="n"/>
      <c r="C427" s="27" t="n"/>
      <c r="D427">
        <f>IF($B427="","",IFERROR(INDEX($D$17:$D$426,MATCH($B427,$B$17:$B$426,0)),""))</f>
        <v/>
      </c>
      <c r="E427">
        <f>IFERROR(INDEX(Dim_Category[CategoryName],MATCH(INDEX(Dim_Vendor[DefaultCategoryID],MATCH($D427,Dim_Vendor[VendorName],0)),Dim_Category[CategoryID],0)),"")</f>
        <v/>
      </c>
      <c r="H427">
        <f>IF($C427="","",IF(SignConvention="Negative = Expense",IF($C427&lt;0,"Expense","Income"),IF($C427&gt;0,"Expense","Income")))</f>
        <v/>
      </c>
      <c r="I427" s="27">
        <f>IF($C427="","",ABS($C427))</f>
        <v/>
      </c>
    </row>
    <row r="428">
      <c r="A428" s="37" t="n"/>
      <c r="C428" s="27" t="n"/>
      <c r="D428">
        <f>IF($B428="","",IFERROR(INDEX($D$17:$D$427,MATCH($B428,$B$17:$B$427,0)),""))</f>
        <v/>
      </c>
      <c r="E428">
        <f>IFERROR(INDEX(Dim_Category[CategoryName],MATCH(INDEX(Dim_Vendor[DefaultCategoryID],MATCH($D428,Dim_Vendor[VendorName],0)),Dim_Category[CategoryID],0)),"")</f>
        <v/>
      </c>
      <c r="H428">
        <f>IF($C428="","",IF(SignConvention="Negative = Expense",IF($C428&lt;0,"Expense","Income"),IF($C428&gt;0,"Expense","Income")))</f>
        <v/>
      </c>
      <c r="I428" s="27">
        <f>IF($C428="","",ABS($C428))</f>
        <v/>
      </c>
    </row>
    <row r="429">
      <c r="A429" s="37" t="n"/>
      <c r="C429" s="27" t="n"/>
      <c r="D429">
        <f>IF($B429="","",IFERROR(INDEX($D$17:$D$428,MATCH($B429,$B$17:$B$428,0)),""))</f>
        <v/>
      </c>
      <c r="E429">
        <f>IFERROR(INDEX(Dim_Category[CategoryName],MATCH(INDEX(Dim_Vendor[DefaultCategoryID],MATCH($D429,Dim_Vendor[VendorName],0)),Dim_Category[CategoryID],0)),"")</f>
        <v/>
      </c>
      <c r="H429">
        <f>IF($C429="","",IF(SignConvention="Negative = Expense",IF($C429&lt;0,"Expense","Income"),IF($C429&gt;0,"Expense","Income")))</f>
        <v/>
      </c>
      <c r="I429" s="27">
        <f>IF($C429="","",ABS($C429))</f>
        <v/>
      </c>
    </row>
    <row r="430">
      <c r="A430" s="37" t="n"/>
      <c r="C430" s="27" t="n"/>
      <c r="D430">
        <f>IF($B430="","",IFERROR(INDEX($D$17:$D$429,MATCH($B430,$B$17:$B$429,0)),""))</f>
        <v/>
      </c>
      <c r="E430">
        <f>IFERROR(INDEX(Dim_Category[CategoryName],MATCH(INDEX(Dim_Vendor[DefaultCategoryID],MATCH($D430,Dim_Vendor[VendorName],0)),Dim_Category[CategoryID],0)),"")</f>
        <v/>
      </c>
      <c r="H430">
        <f>IF($C430="","",IF(SignConvention="Negative = Expense",IF($C430&lt;0,"Expense","Income"),IF($C430&gt;0,"Expense","Income")))</f>
        <v/>
      </c>
      <c r="I430" s="27">
        <f>IF($C430="","",ABS($C430))</f>
        <v/>
      </c>
    </row>
    <row r="431">
      <c r="A431" s="37" t="n"/>
      <c r="C431" s="27" t="n"/>
      <c r="D431">
        <f>IF($B431="","",IFERROR(INDEX($D$17:$D$430,MATCH($B431,$B$17:$B$430,0)),""))</f>
        <v/>
      </c>
      <c r="E431">
        <f>IFERROR(INDEX(Dim_Category[CategoryName],MATCH(INDEX(Dim_Vendor[DefaultCategoryID],MATCH($D431,Dim_Vendor[VendorName],0)),Dim_Category[CategoryID],0)),"")</f>
        <v/>
      </c>
      <c r="H431">
        <f>IF($C431="","",IF(SignConvention="Negative = Expense",IF($C431&lt;0,"Expense","Income"),IF($C431&gt;0,"Expense","Income")))</f>
        <v/>
      </c>
      <c r="I431" s="27">
        <f>IF($C431="","",ABS($C431))</f>
        <v/>
      </c>
    </row>
    <row r="432">
      <c r="A432" s="37" t="n"/>
      <c r="C432" s="27" t="n"/>
      <c r="D432">
        <f>IF($B432="","",IFERROR(INDEX($D$17:$D$431,MATCH($B432,$B$17:$B$431,0)),""))</f>
        <v/>
      </c>
      <c r="E432">
        <f>IFERROR(INDEX(Dim_Category[CategoryName],MATCH(INDEX(Dim_Vendor[DefaultCategoryID],MATCH($D432,Dim_Vendor[VendorName],0)),Dim_Category[CategoryID],0)),"")</f>
        <v/>
      </c>
      <c r="H432">
        <f>IF($C432="","",IF(SignConvention="Negative = Expense",IF($C432&lt;0,"Expense","Income"),IF($C432&gt;0,"Expense","Income")))</f>
        <v/>
      </c>
      <c r="I432" s="27">
        <f>IF($C432="","",ABS($C432))</f>
        <v/>
      </c>
    </row>
    <row r="433">
      <c r="A433" s="37" t="n"/>
      <c r="C433" s="27" t="n"/>
      <c r="D433">
        <f>IF($B433="","",IFERROR(INDEX($D$17:$D$432,MATCH($B433,$B$17:$B$432,0)),""))</f>
        <v/>
      </c>
      <c r="E433">
        <f>IFERROR(INDEX(Dim_Category[CategoryName],MATCH(INDEX(Dim_Vendor[DefaultCategoryID],MATCH($D433,Dim_Vendor[VendorName],0)),Dim_Category[CategoryID],0)),"")</f>
        <v/>
      </c>
      <c r="H433">
        <f>IF($C433="","",IF(SignConvention="Negative = Expense",IF($C433&lt;0,"Expense","Income"),IF($C433&gt;0,"Expense","Income")))</f>
        <v/>
      </c>
      <c r="I433" s="27">
        <f>IF($C433="","",ABS($C433))</f>
        <v/>
      </c>
    </row>
    <row r="434">
      <c r="A434" s="37" t="n"/>
      <c r="C434" s="27" t="n"/>
      <c r="D434">
        <f>IF($B434="","",IFERROR(INDEX($D$17:$D$433,MATCH($B434,$B$17:$B$433,0)),""))</f>
        <v/>
      </c>
      <c r="E434">
        <f>IFERROR(INDEX(Dim_Category[CategoryName],MATCH(INDEX(Dim_Vendor[DefaultCategoryID],MATCH($D434,Dim_Vendor[VendorName],0)),Dim_Category[CategoryID],0)),"")</f>
        <v/>
      </c>
      <c r="H434">
        <f>IF($C434="","",IF(SignConvention="Negative = Expense",IF($C434&lt;0,"Expense","Income"),IF($C434&gt;0,"Expense","Income")))</f>
        <v/>
      </c>
      <c r="I434" s="27">
        <f>IF($C434="","",ABS($C434))</f>
        <v/>
      </c>
    </row>
    <row r="435">
      <c r="A435" s="37" t="n"/>
      <c r="C435" s="27" t="n"/>
      <c r="D435">
        <f>IF($B435="","",IFERROR(INDEX($D$17:$D$434,MATCH($B435,$B$17:$B$434,0)),""))</f>
        <v/>
      </c>
      <c r="E435">
        <f>IFERROR(INDEX(Dim_Category[CategoryName],MATCH(INDEX(Dim_Vendor[DefaultCategoryID],MATCH($D435,Dim_Vendor[VendorName],0)),Dim_Category[CategoryID],0)),"")</f>
        <v/>
      </c>
      <c r="H435">
        <f>IF($C435="","",IF(SignConvention="Negative = Expense",IF($C435&lt;0,"Expense","Income"),IF($C435&gt;0,"Expense","Income")))</f>
        <v/>
      </c>
      <c r="I435" s="27">
        <f>IF($C435="","",ABS($C435))</f>
        <v/>
      </c>
    </row>
    <row r="436">
      <c r="A436" s="37" t="n"/>
      <c r="C436" s="27" t="n"/>
      <c r="D436">
        <f>IF($B436="","",IFERROR(INDEX($D$17:$D$435,MATCH($B436,$B$17:$B$435,0)),""))</f>
        <v/>
      </c>
      <c r="E436">
        <f>IFERROR(INDEX(Dim_Category[CategoryName],MATCH(INDEX(Dim_Vendor[DefaultCategoryID],MATCH($D436,Dim_Vendor[VendorName],0)),Dim_Category[CategoryID],0)),"")</f>
        <v/>
      </c>
      <c r="H436">
        <f>IF($C436="","",IF(SignConvention="Negative = Expense",IF($C436&lt;0,"Expense","Income"),IF($C436&gt;0,"Expense","Income")))</f>
        <v/>
      </c>
      <c r="I436" s="27">
        <f>IF($C436="","",ABS($C436))</f>
        <v/>
      </c>
    </row>
    <row r="437">
      <c r="A437" s="37" t="n"/>
      <c r="C437" s="27" t="n"/>
      <c r="D437">
        <f>IF($B437="","",IFERROR(INDEX($D$17:$D$436,MATCH($B437,$B$17:$B$436,0)),""))</f>
        <v/>
      </c>
      <c r="E437">
        <f>IFERROR(INDEX(Dim_Category[CategoryName],MATCH(INDEX(Dim_Vendor[DefaultCategoryID],MATCH($D437,Dim_Vendor[VendorName],0)),Dim_Category[CategoryID],0)),"")</f>
        <v/>
      </c>
      <c r="H437">
        <f>IF($C437="","",IF(SignConvention="Negative = Expense",IF($C437&lt;0,"Expense","Income"),IF($C437&gt;0,"Expense","Income")))</f>
        <v/>
      </c>
      <c r="I437" s="27">
        <f>IF($C437="","",ABS($C437))</f>
        <v/>
      </c>
    </row>
    <row r="438">
      <c r="A438" s="37" t="n"/>
      <c r="C438" s="27" t="n"/>
      <c r="D438">
        <f>IF($B438="","",IFERROR(INDEX($D$17:$D$437,MATCH($B438,$B$17:$B$437,0)),""))</f>
        <v/>
      </c>
      <c r="E438">
        <f>IFERROR(INDEX(Dim_Category[CategoryName],MATCH(INDEX(Dim_Vendor[DefaultCategoryID],MATCH($D438,Dim_Vendor[VendorName],0)),Dim_Category[CategoryID],0)),"")</f>
        <v/>
      </c>
      <c r="H438">
        <f>IF($C438="","",IF(SignConvention="Negative = Expense",IF($C438&lt;0,"Expense","Income"),IF($C438&gt;0,"Expense","Income")))</f>
        <v/>
      </c>
      <c r="I438" s="27">
        <f>IF($C438="","",ABS($C438))</f>
        <v/>
      </c>
    </row>
    <row r="439">
      <c r="A439" s="37" t="n"/>
      <c r="C439" s="27" t="n"/>
      <c r="D439">
        <f>IF($B439="","",IFERROR(INDEX($D$17:$D$438,MATCH($B439,$B$17:$B$438,0)),""))</f>
        <v/>
      </c>
      <c r="E439">
        <f>IFERROR(INDEX(Dim_Category[CategoryName],MATCH(INDEX(Dim_Vendor[DefaultCategoryID],MATCH($D439,Dim_Vendor[VendorName],0)),Dim_Category[CategoryID],0)),"")</f>
        <v/>
      </c>
      <c r="H439">
        <f>IF($C439="","",IF(SignConvention="Negative = Expense",IF($C439&lt;0,"Expense","Income"),IF($C439&gt;0,"Expense","Income")))</f>
        <v/>
      </c>
      <c r="I439" s="27">
        <f>IF($C439="","",ABS($C439))</f>
        <v/>
      </c>
    </row>
    <row r="440">
      <c r="A440" s="37" t="n"/>
      <c r="C440" s="27" t="n"/>
      <c r="D440">
        <f>IF($B440="","",IFERROR(INDEX($D$17:$D$439,MATCH($B440,$B$17:$B$439,0)),""))</f>
        <v/>
      </c>
      <c r="E440">
        <f>IFERROR(INDEX(Dim_Category[CategoryName],MATCH(INDEX(Dim_Vendor[DefaultCategoryID],MATCH($D440,Dim_Vendor[VendorName],0)),Dim_Category[CategoryID],0)),"")</f>
        <v/>
      </c>
      <c r="H440">
        <f>IF($C440="","",IF(SignConvention="Negative = Expense",IF($C440&lt;0,"Expense","Income"),IF($C440&gt;0,"Expense","Income")))</f>
        <v/>
      </c>
      <c r="I440" s="27">
        <f>IF($C440="","",ABS($C440))</f>
        <v/>
      </c>
    </row>
    <row r="441">
      <c r="A441" s="37" t="n"/>
      <c r="C441" s="27" t="n"/>
      <c r="D441">
        <f>IF($B441="","",IFERROR(INDEX($D$17:$D$440,MATCH($B441,$B$17:$B$440,0)),""))</f>
        <v/>
      </c>
      <c r="E441">
        <f>IFERROR(INDEX(Dim_Category[CategoryName],MATCH(INDEX(Dim_Vendor[DefaultCategoryID],MATCH($D441,Dim_Vendor[VendorName],0)),Dim_Category[CategoryID],0)),"")</f>
        <v/>
      </c>
      <c r="H441">
        <f>IF($C441="","",IF(SignConvention="Negative = Expense",IF($C441&lt;0,"Expense","Income"),IF($C441&gt;0,"Expense","Income")))</f>
        <v/>
      </c>
      <c r="I441" s="27">
        <f>IF($C441="","",ABS($C441))</f>
        <v/>
      </c>
    </row>
    <row r="442">
      <c r="A442" s="37" t="n"/>
      <c r="C442" s="27" t="n"/>
      <c r="D442">
        <f>IF($B442="","",IFERROR(INDEX($D$17:$D$441,MATCH($B442,$B$17:$B$441,0)),""))</f>
        <v/>
      </c>
      <c r="E442">
        <f>IFERROR(INDEX(Dim_Category[CategoryName],MATCH(INDEX(Dim_Vendor[DefaultCategoryID],MATCH($D442,Dim_Vendor[VendorName],0)),Dim_Category[CategoryID],0)),"")</f>
        <v/>
      </c>
      <c r="H442">
        <f>IF($C442="","",IF(SignConvention="Negative = Expense",IF($C442&lt;0,"Expense","Income"),IF($C442&gt;0,"Expense","Income")))</f>
        <v/>
      </c>
      <c r="I442" s="27">
        <f>IF($C442="","",ABS($C442))</f>
        <v/>
      </c>
    </row>
    <row r="443">
      <c r="A443" s="37" t="n"/>
      <c r="C443" s="27" t="n"/>
      <c r="D443">
        <f>IF($B443="","",IFERROR(INDEX($D$17:$D$442,MATCH($B443,$B$17:$B$442,0)),""))</f>
        <v/>
      </c>
      <c r="E443">
        <f>IFERROR(INDEX(Dim_Category[CategoryName],MATCH(INDEX(Dim_Vendor[DefaultCategoryID],MATCH($D443,Dim_Vendor[VendorName],0)),Dim_Category[CategoryID],0)),"")</f>
        <v/>
      </c>
      <c r="H443">
        <f>IF($C443="","",IF(SignConvention="Negative = Expense",IF($C443&lt;0,"Expense","Income"),IF($C443&gt;0,"Expense","Income")))</f>
        <v/>
      </c>
      <c r="I443" s="27">
        <f>IF($C443="","",ABS($C443))</f>
        <v/>
      </c>
    </row>
    <row r="444">
      <c r="A444" s="37" t="n"/>
      <c r="C444" s="27" t="n"/>
      <c r="D444">
        <f>IF($B444="","",IFERROR(INDEX($D$17:$D$443,MATCH($B444,$B$17:$B$443,0)),""))</f>
        <v/>
      </c>
      <c r="E444">
        <f>IFERROR(INDEX(Dim_Category[CategoryName],MATCH(INDEX(Dim_Vendor[DefaultCategoryID],MATCH($D444,Dim_Vendor[VendorName],0)),Dim_Category[CategoryID],0)),"")</f>
        <v/>
      </c>
      <c r="H444">
        <f>IF($C444="","",IF(SignConvention="Negative = Expense",IF($C444&lt;0,"Expense","Income"),IF($C444&gt;0,"Expense","Income")))</f>
        <v/>
      </c>
      <c r="I444" s="27">
        <f>IF($C444="","",ABS($C444))</f>
        <v/>
      </c>
    </row>
    <row r="445">
      <c r="A445" s="37" t="n"/>
      <c r="C445" s="27" t="n"/>
      <c r="D445">
        <f>IF($B445="","",IFERROR(INDEX($D$17:$D$444,MATCH($B445,$B$17:$B$444,0)),""))</f>
        <v/>
      </c>
      <c r="E445">
        <f>IFERROR(INDEX(Dim_Category[CategoryName],MATCH(INDEX(Dim_Vendor[DefaultCategoryID],MATCH($D445,Dim_Vendor[VendorName],0)),Dim_Category[CategoryID],0)),"")</f>
        <v/>
      </c>
      <c r="H445">
        <f>IF($C445="","",IF(SignConvention="Negative = Expense",IF($C445&lt;0,"Expense","Income"),IF($C445&gt;0,"Expense","Income")))</f>
        <v/>
      </c>
      <c r="I445" s="27">
        <f>IF($C445="","",ABS($C445))</f>
        <v/>
      </c>
    </row>
    <row r="446">
      <c r="A446" s="37" t="n"/>
      <c r="C446" s="27" t="n"/>
      <c r="D446">
        <f>IF($B446="","",IFERROR(INDEX($D$17:$D$445,MATCH($B446,$B$17:$B$445,0)),""))</f>
        <v/>
      </c>
      <c r="E446">
        <f>IFERROR(INDEX(Dim_Category[CategoryName],MATCH(INDEX(Dim_Vendor[DefaultCategoryID],MATCH($D446,Dim_Vendor[VendorName],0)),Dim_Category[CategoryID],0)),"")</f>
        <v/>
      </c>
      <c r="H446">
        <f>IF($C446="","",IF(SignConvention="Negative = Expense",IF($C446&lt;0,"Expense","Income"),IF($C446&gt;0,"Expense","Income")))</f>
        <v/>
      </c>
      <c r="I446" s="27">
        <f>IF($C446="","",ABS($C446))</f>
        <v/>
      </c>
    </row>
    <row r="447">
      <c r="A447" s="37" t="n"/>
      <c r="C447" s="27" t="n"/>
      <c r="D447">
        <f>IF($B447="","",IFERROR(INDEX($D$17:$D$446,MATCH($B447,$B$17:$B$446,0)),""))</f>
        <v/>
      </c>
      <c r="E447">
        <f>IFERROR(INDEX(Dim_Category[CategoryName],MATCH(INDEX(Dim_Vendor[DefaultCategoryID],MATCH($D447,Dim_Vendor[VendorName],0)),Dim_Category[CategoryID],0)),"")</f>
        <v/>
      </c>
      <c r="H447">
        <f>IF($C447="","",IF(SignConvention="Negative = Expense",IF($C447&lt;0,"Expense","Income"),IF($C447&gt;0,"Expense","Income")))</f>
        <v/>
      </c>
      <c r="I447" s="27">
        <f>IF($C447="","",ABS($C447))</f>
        <v/>
      </c>
    </row>
    <row r="448">
      <c r="A448" s="37" t="n"/>
      <c r="C448" s="27" t="n"/>
      <c r="D448">
        <f>IF($B448="","",IFERROR(INDEX($D$17:$D$447,MATCH($B448,$B$17:$B$447,0)),""))</f>
        <v/>
      </c>
      <c r="E448">
        <f>IFERROR(INDEX(Dim_Category[CategoryName],MATCH(INDEX(Dim_Vendor[DefaultCategoryID],MATCH($D448,Dim_Vendor[VendorName],0)),Dim_Category[CategoryID],0)),"")</f>
        <v/>
      </c>
      <c r="H448">
        <f>IF($C448="","",IF(SignConvention="Negative = Expense",IF($C448&lt;0,"Expense","Income"),IF($C448&gt;0,"Expense","Income")))</f>
        <v/>
      </c>
      <c r="I448" s="27">
        <f>IF($C448="","",ABS($C448))</f>
        <v/>
      </c>
    </row>
    <row r="449">
      <c r="A449" s="37" t="n"/>
      <c r="C449" s="27" t="n"/>
      <c r="D449">
        <f>IF($B449="","",IFERROR(INDEX($D$17:$D$448,MATCH($B449,$B$17:$B$448,0)),""))</f>
        <v/>
      </c>
      <c r="E449">
        <f>IFERROR(INDEX(Dim_Category[CategoryName],MATCH(INDEX(Dim_Vendor[DefaultCategoryID],MATCH($D449,Dim_Vendor[VendorName],0)),Dim_Category[CategoryID],0)),"")</f>
        <v/>
      </c>
      <c r="H449">
        <f>IF($C449="","",IF(SignConvention="Negative = Expense",IF($C449&lt;0,"Expense","Income"),IF($C449&gt;0,"Expense","Income")))</f>
        <v/>
      </c>
      <c r="I449" s="27">
        <f>IF($C449="","",ABS($C449))</f>
        <v/>
      </c>
    </row>
    <row r="450">
      <c r="A450" s="37" t="n"/>
      <c r="C450" s="27" t="n"/>
      <c r="D450">
        <f>IF($B450="","",IFERROR(INDEX($D$17:$D$449,MATCH($B450,$B$17:$B$449,0)),""))</f>
        <v/>
      </c>
      <c r="E450">
        <f>IFERROR(INDEX(Dim_Category[CategoryName],MATCH(INDEX(Dim_Vendor[DefaultCategoryID],MATCH($D450,Dim_Vendor[VendorName],0)),Dim_Category[CategoryID],0)),"")</f>
        <v/>
      </c>
      <c r="H450">
        <f>IF($C450="","",IF(SignConvention="Negative = Expense",IF($C450&lt;0,"Expense","Income"),IF($C450&gt;0,"Expense","Income")))</f>
        <v/>
      </c>
      <c r="I450" s="27">
        <f>IF($C450="","",ABS($C450))</f>
        <v/>
      </c>
    </row>
    <row r="451">
      <c r="A451" s="37" t="n"/>
      <c r="C451" s="27" t="n"/>
      <c r="D451">
        <f>IF($B451="","",IFERROR(INDEX($D$17:$D$450,MATCH($B451,$B$17:$B$450,0)),""))</f>
        <v/>
      </c>
      <c r="E451">
        <f>IFERROR(INDEX(Dim_Category[CategoryName],MATCH(INDEX(Dim_Vendor[DefaultCategoryID],MATCH($D451,Dim_Vendor[VendorName],0)),Dim_Category[CategoryID],0)),"")</f>
        <v/>
      </c>
      <c r="H451">
        <f>IF($C451="","",IF(SignConvention="Negative = Expense",IF($C451&lt;0,"Expense","Income"),IF($C451&gt;0,"Expense","Income")))</f>
        <v/>
      </c>
      <c r="I451" s="27">
        <f>IF($C451="","",ABS($C451))</f>
        <v/>
      </c>
    </row>
    <row r="452">
      <c r="A452" s="37" t="n"/>
      <c r="C452" s="27" t="n"/>
      <c r="D452">
        <f>IF($B452="","",IFERROR(INDEX($D$17:$D$451,MATCH($B452,$B$17:$B$451,0)),""))</f>
        <v/>
      </c>
      <c r="E452">
        <f>IFERROR(INDEX(Dim_Category[CategoryName],MATCH(INDEX(Dim_Vendor[DefaultCategoryID],MATCH($D452,Dim_Vendor[VendorName],0)),Dim_Category[CategoryID],0)),"")</f>
        <v/>
      </c>
      <c r="H452">
        <f>IF($C452="","",IF(SignConvention="Negative = Expense",IF($C452&lt;0,"Expense","Income"),IF($C452&gt;0,"Expense","Income")))</f>
        <v/>
      </c>
      <c r="I452" s="27">
        <f>IF($C452="","",ABS($C452))</f>
        <v/>
      </c>
    </row>
    <row r="453">
      <c r="A453" s="37" t="n"/>
      <c r="C453" s="27" t="n"/>
      <c r="D453">
        <f>IF($B453="","",IFERROR(INDEX($D$17:$D$452,MATCH($B453,$B$17:$B$452,0)),""))</f>
        <v/>
      </c>
      <c r="E453">
        <f>IFERROR(INDEX(Dim_Category[CategoryName],MATCH(INDEX(Dim_Vendor[DefaultCategoryID],MATCH($D453,Dim_Vendor[VendorName],0)),Dim_Category[CategoryID],0)),"")</f>
        <v/>
      </c>
      <c r="H453">
        <f>IF($C453="","",IF(SignConvention="Negative = Expense",IF($C453&lt;0,"Expense","Income"),IF($C453&gt;0,"Expense","Income")))</f>
        <v/>
      </c>
      <c r="I453" s="27">
        <f>IF($C453="","",ABS($C453))</f>
        <v/>
      </c>
    </row>
    <row r="454">
      <c r="A454" s="37" t="n"/>
      <c r="C454" s="27" t="n"/>
      <c r="D454">
        <f>IF($B454="","",IFERROR(INDEX($D$17:$D$453,MATCH($B454,$B$17:$B$453,0)),""))</f>
        <v/>
      </c>
      <c r="E454">
        <f>IFERROR(INDEX(Dim_Category[CategoryName],MATCH(INDEX(Dim_Vendor[DefaultCategoryID],MATCH($D454,Dim_Vendor[VendorName],0)),Dim_Category[CategoryID],0)),"")</f>
        <v/>
      </c>
      <c r="H454">
        <f>IF($C454="","",IF(SignConvention="Negative = Expense",IF($C454&lt;0,"Expense","Income"),IF($C454&gt;0,"Expense","Income")))</f>
        <v/>
      </c>
      <c r="I454" s="27">
        <f>IF($C454="","",ABS($C454))</f>
        <v/>
      </c>
    </row>
    <row r="455">
      <c r="A455" s="37" t="n"/>
      <c r="C455" s="27" t="n"/>
      <c r="D455">
        <f>IF($B455="","",IFERROR(INDEX($D$17:$D$454,MATCH($B455,$B$17:$B$454,0)),""))</f>
        <v/>
      </c>
      <c r="E455">
        <f>IFERROR(INDEX(Dim_Category[CategoryName],MATCH(INDEX(Dim_Vendor[DefaultCategoryID],MATCH($D455,Dim_Vendor[VendorName],0)),Dim_Category[CategoryID],0)),"")</f>
        <v/>
      </c>
      <c r="H455">
        <f>IF($C455="","",IF(SignConvention="Negative = Expense",IF($C455&lt;0,"Expense","Income"),IF($C455&gt;0,"Expense","Income")))</f>
        <v/>
      </c>
      <c r="I455" s="27">
        <f>IF($C455="","",ABS($C455))</f>
        <v/>
      </c>
    </row>
    <row r="456">
      <c r="A456" s="37" t="n"/>
      <c r="C456" s="27" t="n"/>
      <c r="D456">
        <f>IF($B456="","",IFERROR(INDEX($D$17:$D$455,MATCH($B456,$B$17:$B$455,0)),""))</f>
        <v/>
      </c>
      <c r="E456">
        <f>IFERROR(INDEX(Dim_Category[CategoryName],MATCH(INDEX(Dim_Vendor[DefaultCategoryID],MATCH($D456,Dim_Vendor[VendorName],0)),Dim_Category[CategoryID],0)),"")</f>
        <v/>
      </c>
      <c r="H456">
        <f>IF($C456="","",IF(SignConvention="Negative = Expense",IF($C456&lt;0,"Expense","Income"),IF($C456&gt;0,"Expense","Income")))</f>
        <v/>
      </c>
      <c r="I456" s="27">
        <f>IF($C456="","",ABS($C456))</f>
        <v/>
      </c>
    </row>
    <row r="457">
      <c r="A457" s="37" t="n"/>
      <c r="C457" s="27" t="n"/>
      <c r="D457">
        <f>IF($B457="","",IFERROR(INDEX($D$17:$D$456,MATCH($B457,$B$17:$B$456,0)),""))</f>
        <v/>
      </c>
      <c r="E457">
        <f>IFERROR(INDEX(Dim_Category[CategoryName],MATCH(INDEX(Dim_Vendor[DefaultCategoryID],MATCH($D457,Dim_Vendor[VendorName],0)),Dim_Category[CategoryID],0)),"")</f>
        <v/>
      </c>
      <c r="H457">
        <f>IF($C457="","",IF(SignConvention="Negative = Expense",IF($C457&lt;0,"Expense","Income"),IF($C457&gt;0,"Expense","Income")))</f>
        <v/>
      </c>
      <c r="I457" s="27">
        <f>IF($C457="","",ABS($C457))</f>
        <v/>
      </c>
    </row>
    <row r="458">
      <c r="A458" s="37" t="n"/>
      <c r="C458" s="27" t="n"/>
      <c r="D458">
        <f>IF($B458="","",IFERROR(INDEX($D$17:$D$457,MATCH($B458,$B$17:$B$457,0)),""))</f>
        <v/>
      </c>
      <c r="E458">
        <f>IFERROR(INDEX(Dim_Category[CategoryName],MATCH(INDEX(Dim_Vendor[DefaultCategoryID],MATCH($D458,Dim_Vendor[VendorName],0)),Dim_Category[CategoryID],0)),"")</f>
        <v/>
      </c>
      <c r="H458">
        <f>IF($C458="","",IF(SignConvention="Negative = Expense",IF($C458&lt;0,"Expense","Income"),IF($C458&gt;0,"Expense","Income")))</f>
        <v/>
      </c>
      <c r="I458" s="27">
        <f>IF($C458="","",ABS($C458))</f>
        <v/>
      </c>
    </row>
    <row r="459">
      <c r="A459" s="37" t="n"/>
      <c r="C459" s="27" t="n"/>
      <c r="D459">
        <f>IF($B459="","",IFERROR(INDEX($D$17:$D$458,MATCH($B459,$B$17:$B$458,0)),""))</f>
        <v/>
      </c>
      <c r="E459">
        <f>IFERROR(INDEX(Dim_Category[CategoryName],MATCH(INDEX(Dim_Vendor[DefaultCategoryID],MATCH($D459,Dim_Vendor[VendorName],0)),Dim_Category[CategoryID],0)),"")</f>
        <v/>
      </c>
      <c r="H459">
        <f>IF($C459="","",IF(SignConvention="Negative = Expense",IF($C459&lt;0,"Expense","Income"),IF($C459&gt;0,"Expense","Income")))</f>
        <v/>
      </c>
      <c r="I459" s="27">
        <f>IF($C459="","",ABS($C459))</f>
        <v/>
      </c>
    </row>
    <row r="460">
      <c r="A460" s="37" t="n"/>
      <c r="C460" s="27" t="n"/>
      <c r="D460">
        <f>IF($B460="","",IFERROR(INDEX($D$17:$D$459,MATCH($B460,$B$17:$B$459,0)),""))</f>
        <v/>
      </c>
      <c r="E460">
        <f>IFERROR(INDEX(Dim_Category[CategoryName],MATCH(INDEX(Dim_Vendor[DefaultCategoryID],MATCH($D460,Dim_Vendor[VendorName],0)),Dim_Category[CategoryID],0)),"")</f>
        <v/>
      </c>
      <c r="H460">
        <f>IF($C460="","",IF(SignConvention="Negative = Expense",IF($C460&lt;0,"Expense","Income"),IF($C460&gt;0,"Expense","Income")))</f>
        <v/>
      </c>
      <c r="I460" s="27">
        <f>IF($C460="","",ABS($C460))</f>
        <v/>
      </c>
    </row>
    <row r="461">
      <c r="A461" s="37" t="n"/>
      <c r="C461" s="27" t="n"/>
      <c r="D461">
        <f>IF($B461="","",IFERROR(INDEX($D$17:$D$460,MATCH($B461,$B$17:$B$460,0)),""))</f>
        <v/>
      </c>
      <c r="E461">
        <f>IFERROR(INDEX(Dim_Category[CategoryName],MATCH(INDEX(Dim_Vendor[DefaultCategoryID],MATCH($D461,Dim_Vendor[VendorName],0)),Dim_Category[CategoryID],0)),"")</f>
        <v/>
      </c>
      <c r="H461">
        <f>IF($C461="","",IF(SignConvention="Negative = Expense",IF($C461&lt;0,"Expense","Income"),IF($C461&gt;0,"Expense","Income")))</f>
        <v/>
      </c>
      <c r="I461" s="27">
        <f>IF($C461="","",ABS($C461))</f>
        <v/>
      </c>
    </row>
    <row r="462">
      <c r="A462" s="37" t="n"/>
      <c r="C462" s="27" t="n"/>
      <c r="D462">
        <f>IF($B462="","",IFERROR(INDEX($D$17:$D$461,MATCH($B462,$B$17:$B$461,0)),""))</f>
        <v/>
      </c>
      <c r="E462">
        <f>IFERROR(INDEX(Dim_Category[CategoryName],MATCH(INDEX(Dim_Vendor[DefaultCategoryID],MATCH($D462,Dim_Vendor[VendorName],0)),Dim_Category[CategoryID],0)),"")</f>
        <v/>
      </c>
      <c r="H462">
        <f>IF($C462="","",IF(SignConvention="Negative = Expense",IF($C462&lt;0,"Expense","Income"),IF($C462&gt;0,"Expense","Income")))</f>
        <v/>
      </c>
      <c r="I462" s="27">
        <f>IF($C462="","",ABS($C462))</f>
        <v/>
      </c>
    </row>
    <row r="463">
      <c r="A463" s="37" t="n"/>
      <c r="C463" s="27" t="n"/>
      <c r="D463">
        <f>IF($B463="","",IFERROR(INDEX($D$17:$D$462,MATCH($B463,$B$17:$B$462,0)),""))</f>
        <v/>
      </c>
      <c r="E463">
        <f>IFERROR(INDEX(Dim_Category[CategoryName],MATCH(INDEX(Dim_Vendor[DefaultCategoryID],MATCH($D463,Dim_Vendor[VendorName],0)),Dim_Category[CategoryID],0)),"")</f>
        <v/>
      </c>
      <c r="H463">
        <f>IF($C463="","",IF(SignConvention="Negative = Expense",IF($C463&lt;0,"Expense","Income"),IF($C463&gt;0,"Expense","Income")))</f>
        <v/>
      </c>
      <c r="I463" s="27">
        <f>IF($C463="","",ABS($C463))</f>
        <v/>
      </c>
    </row>
    <row r="464">
      <c r="A464" s="37" t="n"/>
      <c r="C464" s="27" t="n"/>
      <c r="D464">
        <f>IF($B464="","",IFERROR(INDEX($D$17:$D$463,MATCH($B464,$B$17:$B$463,0)),""))</f>
        <v/>
      </c>
      <c r="E464">
        <f>IFERROR(INDEX(Dim_Category[CategoryName],MATCH(INDEX(Dim_Vendor[DefaultCategoryID],MATCH($D464,Dim_Vendor[VendorName],0)),Dim_Category[CategoryID],0)),"")</f>
        <v/>
      </c>
      <c r="H464">
        <f>IF($C464="","",IF(SignConvention="Negative = Expense",IF($C464&lt;0,"Expense","Income"),IF($C464&gt;0,"Expense","Income")))</f>
        <v/>
      </c>
      <c r="I464" s="27">
        <f>IF($C464="","",ABS($C464))</f>
        <v/>
      </c>
    </row>
    <row r="465">
      <c r="A465" s="37" t="n"/>
      <c r="C465" s="27" t="n"/>
      <c r="D465">
        <f>IF($B465="","",IFERROR(INDEX($D$17:$D$464,MATCH($B465,$B$17:$B$464,0)),""))</f>
        <v/>
      </c>
      <c r="E465">
        <f>IFERROR(INDEX(Dim_Category[CategoryName],MATCH(INDEX(Dim_Vendor[DefaultCategoryID],MATCH($D465,Dim_Vendor[VendorName],0)),Dim_Category[CategoryID],0)),"")</f>
        <v/>
      </c>
      <c r="H465">
        <f>IF($C465="","",IF(SignConvention="Negative = Expense",IF($C465&lt;0,"Expense","Income"),IF($C465&gt;0,"Expense","Income")))</f>
        <v/>
      </c>
      <c r="I465" s="27">
        <f>IF($C465="","",ABS($C465))</f>
        <v/>
      </c>
    </row>
    <row r="466">
      <c r="A466" s="37" t="n"/>
      <c r="C466" s="27" t="n"/>
      <c r="D466">
        <f>IF($B466="","",IFERROR(INDEX($D$17:$D$465,MATCH($B466,$B$17:$B$465,0)),""))</f>
        <v/>
      </c>
      <c r="E466">
        <f>IFERROR(INDEX(Dim_Category[CategoryName],MATCH(INDEX(Dim_Vendor[DefaultCategoryID],MATCH($D466,Dim_Vendor[VendorName],0)),Dim_Category[CategoryID],0)),"")</f>
        <v/>
      </c>
      <c r="H466">
        <f>IF($C466="","",IF(SignConvention="Negative = Expense",IF($C466&lt;0,"Expense","Income"),IF($C466&gt;0,"Expense","Income")))</f>
        <v/>
      </c>
      <c r="I466" s="27">
        <f>IF($C466="","",ABS($C466))</f>
        <v/>
      </c>
    </row>
    <row r="467">
      <c r="A467" s="37" t="n"/>
      <c r="C467" s="27" t="n"/>
      <c r="D467">
        <f>IF($B467="","",IFERROR(INDEX($D$17:$D$466,MATCH($B467,$B$17:$B$466,0)),""))</f>
        <v/>
      </c>
      <c r="E467">
        <f>IFERROR(INDEX(Dim_Category[CategoryName],MATCH(INDEX(Dim_Vendor[DefaultCategoryID],MATCH($D467,Dim_Vendor[VendorName],0)),Dim_Category[CategoryID],0)),"")</f>
        <v/>
      </c>
      <c r="H467">
        <f>IF($C467="","",IF(SignConvention="Negative = Expense",IF($C467&lt;0,"Expense","Income"),IF($C467&gt;0,"Expense","Income")))</f>
        <v/>
      </c>
      <c r="I467" s="27">
        <f>IF($C467="","",ABS($C467))</f>
        <v/>
      </c>
    </row>
    <row r="468">
      <c r="A468" s="37" t="n"/>
      <c r="C468" s="27" t="n"/>
      <c r="D468">
        <f>IF($B468="","",IFERROR(INDEX($D$17:$D$467,MATCH($B468,$B$17:$B$467,0)),""))</f>
        <v/>
      </c>
      <c r="E468">
        <f>IFERROR(INDEX(Dim_Category[CategoryName],MATCH(INDEX(Dim_Vendor[DefaultCategoryID],MATCH($D468,Dim_Vendor[VendorName],0)),Dim_Category[CategoryID],0)),"")</f>
        <v/>
      </c>
      <c r="H468">
        <f>IF($C468="","",IF(SignConvention="Negative = Expense",IF($C468&lt;0,"Expense","Income"),IF($C468&gt;0,"Expense","Income")))</f>
        <v/>
      </c>
      <c r="I468" s="27">
        <f>IF($C468="","",ABS($C468))</f>
        <v/>
      </c>
    </row>
    <row r="469">
      <c r="A469" s="37" t="n"/>
      <c r="C469" s="27" t="n"/>
      <c r="D469">
        <f>IF($B469="","",IFERROR(INDEX($D$17:$D$468,MATCH($B469,$B$17:$B$468,0)),""))</f>
        <v/>
      </c>
      <c r="E469">
        <f>IFERROR(INDEX(Dim_Category[CategoryName],MATCH(INDEX(Dim_Vendor[DefaultCategoryID],MATCH($D469,Dim_Vendor[VendorName],0)),Dim_Category[CategoryID],0)),"")</f>
        <v/>
      </c>
      <c r="H469">
        <f>IF($C469="","",IF(SignConvention="Negative = Expense",IF($C469&lt;0,"Expense","Income"),IF($C469&gt;0,"Expense","Income")))</f>
        <v/>
      </c>
      <c r="I469" s="27">
        <f>IF($C469="","",ABS($C469))</f>
        <v/>
      </c>
    </row>
    <row r="470">
      <c r="A470" s="37" t="n"/>
      <c r="C470" s="27" t="n"/>
      <c r="D470">
        <f>IF($B470="","",IFERROR(INDEX($D$17:$D$469,MATCH($B470,$B$17:$B$469,0)),""))</f>
        <v/>
      </c>
      <c r="E470">
        <f>IFERROR(INDEX(Dim_Category[CategoryName],MATCH(INDEX(Dim_Vendor[DefaultCategoryID],MATCH($D470,Dim_Vendor[VendorName],0)),Dim_Category[CategoryID],0)),"")</f>
        <v/>
      </c>
      <c r="H470">
        <f>IF($C470="","",IF(SignConvention="Negative = Expense",IF($C470&lt;0,"Expense","Income"),IF($C470&gt;0,"Expense","Income")))</f>
        <v/>
      </c>
      <c r="I470" s="27">
        <f>IF($C470="","",ABS($C470))</f>
        <v/>
      </c>
    </row>
    <row r="471">
      <c r="A471" s="37" t="n"/>
      <c r="C471" s="27" t="n"/>
      <c r="D471">
        <f>IF($B471="","",IFERROR(INDEX($D$17:$D$470,MATCH($B471,$B$17:$B$470,0)),""))</f>
        <v/>
      </c>
      <c r="E471">
        <f>IFERROR(INDEX(Dim_Category[CategoryName],MATCH(INDEX(Dim_Vendor[DefaultCategoryID],MATCH($D471,Dim_Vendor[VendorName],0)),Dim_Category[CategoryID],0)),"")</f>
        <v/>
      </c>
      <c r="H471">
        <f>IF($C471="","",IF(SignConvention="Negative = Expense",IF($C471&lt;0,"Expense","Income"),IF($C471&gt;0,"Expense","Income")))</f>
        <v/>
      </c>
      <c r="I471" s="27">
        <f>IF($C471="","",ABS($C471))</f>
        <v/>
      </c>
    </row>
    <row r="472">
      <c r="A472" s="37" t="n"/>
      <c r="C472" s="27" t="n"/>
      <c r="D472">
        <f>IF($B472="","",IFERROR(INDEX($D$17:$D$471,MATCH($B472,$B$17:$B$471,0)),""))</f>
        <v/>
      </c>
      <c r="E472">
        <f>IFERROR(INDEX(Dim_Category[CategoryName],MATCH(INDEX(Dim_Vendor[DefaultCategoryID],MATCH($D472,Dim_Vendor[VendorName],0)),Dim_Category[CategoryID],0)),"")</f>
        <v/>
      </c>
      <c r="H472">
        <f>IF($C472="","",IF(SignConvention="Negative = Expense",IF($C472&lt;0,"Expense","Income"),IF($C472&gt;0,"Expense","Income")))</f>
        <v/>
      </c>
      <c r="I472" s="27">
        <f>IF($C472="","",ABS($C472))</f>
        <v/>
      </c>
    </row>
    <row r="473">
      <c r="A473" s="37" t="n"/>
      <c r="C473" s="27" t="n"/>
      <c r="D473">
        <f>IF($B473="","",IFERROR(INDEX($D$17:$D$472,MATCH($B473,$B$17:$B$472,0)),""))</f>
        <v/>
      </c>
      <c r="E473">
        <f>IFERROR(INDEX(Dim_Category[CategoryName],MATCH(INDEX(Dim_Vendor[DefaultCategoryID],MATCH($D473,Dim_Vendor[VendorName],0)),Dim_Category[CategoryID],0)),"")</f>
        <v/>
      </c>
      <c r="H473">
        <f>IF($C473="","",IF(SignConvention="Negative = Expense",IF($C473&lt;0,"Expense","Income"),IF($C473&gt;0,"Expense","Income")))</f>
        <v/>
      </c>
      <c r="I473" s="27">
        <f>IF($C473="","",ABS($C473))</f>
        <v/>
      </c>
    </row>
    <row r="474">
      <c r="A474" s="37" t="n"/>
      <c r="C474" s="27" t="n"/>
      <c r="D474">
        <f>IF($B474="","",IFERROR(INDEX($D$17:$D$473,MATCH($B474,$B$17:$B$473,0)),""))</f>
        <v/>
      </c>
      <c r="E474">
        <f>IFERROR(INDEX(Dim_Category[CategoryName],MATCH(INDEX(Dim_Vendor[DefaultCategoryID],MATCH($D474,Dim_Vendor[VendorName],0)),Dim_Category[CategoryID],0)),"")</f>
        <v/>
      </c>
      <c r="H474">
        <f>IF($C474="","",IF(SignConvention="Negative = Expense",IF($C474&lt;0,"Expense","Income"),IF($C474&gt;0,"Expense","Income")))</f>
        <v/>
      </c>
      <c r="I474" s="27">
        <f>IF($C474="","",ABS($C474))</f>
        <v/>
      </c>
    </row>
    <row r="475">
      <c r="A475" s="37" t="n"/>
      <c r="C475" s="27" t="n"/>
      <c r="D475">
        <f>IF($B475="","",IFERROR(INDEX($D$17:$D$474,MATCH($B475,$B$17:$B$474,0)),""))</f>
        <v/>
      </c>
      <c r="E475">
        <f>IFERROR(INDEX(Dim_Category[CategoryName],MATCH(INDEX(Dim_Vendor[DefaultCategoryID],MATCH($D475,Dim_Vendor[VendorName],0)),Dim_Category[CategoryID],0)),"")</f>
        <v/>
      </c>
      <c r="H475">
        <f>IF($C475="","",IF(SignConvention="Negative = Expense",IF($C475&lt;0,"Expense","Income"),IF($C475&gt;0,"Expense","Income")))</f>
        <v/>
      </c>
      <c r="I475" s="27">
        <f>IF($C475="","",ABS($C475))</f>
        <v/>
      </c>
    </row>
    <row r="476">
      <c r="A476" s="37" t="n"/>
      <c r="C476" s="27" t="n"/>
      <c r="D476">
        <f>IF($B476="","",IFERROR(INDEX($D$17:$D$475,MATCH($B476,$B$17:$B$475,0)),""))</f>
        <v/>
      </c>
      <c r="E476">
        <f>IFERROR(INDEX(Dim_Category[CategoryName],MATCH(INDEX(Dim_Vendor[DefaultCategoryID],MATCH($D476,Dim_Vendor[VendorName],0)),Dim_Category[CategoryID],0)),"")</f>
        <v/>
      </c>
      <c r="H476">
        <f>IF($C476="","",IF(SignConvention="Negative = Expense",IF($C476&lt;0,"Expense","Income"),IF($C476&gt;0,"Expense","Income")))</f>
        <v/>
      </c>
      <c r="I476" s="27">
        <f>IF($C476="","",ABS($C476))</f>
        <v/>
      </c>
    </row>
    <row r="477">
      <c r="A477" s="37" t="n"/>
      <c r="C477" s="27" t="n"/>
      <c r="D477">
        <f>IF($B477="","",IFERROR(INDEX($D$17:$D$476,MATCH($B477,$B$17:$B$476,0)),""))</f>
        <v/>
      </c>
      <c r="E477">
        <f>IFERROR(INDEX(Dim_Category[CategoryName],MATCH(INDEX(Dim_Vendor[DefaultCategoryID],MATCH($D477,Dim_Vendor[VendorName],0)),Dim_Category[CategoryID],0)),"")</f>
        <v/>
      </c>
      <c r="H477">
        <f>IF($C477="","",IF(SignConvention="Negative = Expense",IF($C477&lt;0,"Expense","Income"),IF($C477&gt;0,"Expense","Income")))</f>
        <v/>
      </c>
      <c r="I477" s="27">
        <f>IF($C477="","",ABS($C477))</f>
        <v/>
      </c>
    </row>
    <row r="478">
      <c r="A478" s="37" t="n"/>
      <c r="C478" s="27" t="n"/>
      <c r="D478">
        <f>IF($B478="","",IFERROR(INDEX($D$17:$D$477,MATCH($B478,$B$17:$B$477,0)),""))</f>
        <v/>
      </c>
      <c r="E478">
        <f>IFERROR(INDEX(Dim_Category[CategoryName],MATCH(INDEX(Dim_Vendor[DefaultCategoryID],MATCH($D478,Dim_Vendor[VendorName],0)),Dim_Category[CategoryID],0)),"")</f>
        <v/>
      </c>
      <c r="H478">
        <f>IF($C478="","",IF(SignConvention="Negative = Expense",IF($C478&lt;0,"Expense","Income"),IF($C478&gt;0,"Expense","Income")))</f>
        <v/>
      </c>
      <c r="I478" s="27">
        <f>IF($C478="","",ABS($C478))</f>
        <v/>
      </c>
    </row>
    <row r="479">
      <c r="A479" s="37" t="n"/>
      <c r="C479" s="27" t="n"/>
      <c r="D479">
        <f>IF($B479="","",IFERROR(INDEX($D$17:$D$478,MATCH($B479,$B$17:$B$478,0)),""))</f>
        <v/>
      </c>
      <c r="E479">
        <f>IFERROR(INDEX(Dim_Category[CategoryName],MATCH(INDEX(Dim_Vendor[DefaultCategoryID],MATCH($D479,Dim_Vendor[VendorName],0)),Dim_Category[CategoryID],0)),"")</f>
        <v/>
      </c>
      <c r="H479">
        <f>IF($C479="","",IF(SignConvention="Negative = Expense",IF($C479&lt;0,"Expense","Income"),IF($C479&gt;0,"Expense","Income")))</f>
        <v/>
      </c>
      <c r="I479" s="27">
        <f>IF($C479="","",ABS($C479))</f>
        <v/>
      </c>
    </row>
    <row r="480">
      <c r="A480" s="37" t="n"/>
      <c r="C480" s="27" t="n"/>
      <c r="D480">
        <f>IF($B480="","",IFERROR(INDEX($D$17:$D$479,MATCH($B480,$B$17:$B$479,0)),""))</f>
        <v/>
      </c>
      <c r="E480">
        <f>IFERROR(INDEX(Dim_Category[CategoryName],MATCH(INDEX(Dim_Vendor[DefaultCategoryID],MATCH($D480,Dim_Vendor[VendorName],0)),Dim_Category[CategoryID],0)),"")</f>
        <v/>
      </c>
      <c r="H480">
        <f>IF($C480="","",IF(SignConvention="Negative = Expense",IF($C480&lt;0,"Expense","Income"),IF($C480&gt;0,"Expense","Income")))</f>
        <v/>
      </c>
      <c r="I480" s="27">
        <f>IF($C480="","",ABS($C480))</f>
        <v/>
      </c>
    </row>
    <row r="481">
      <c r="A481" s="37" t="n"/>
      <c r="C481" s="27" t="n"/>
      <c r="D481">
        <f>IF($B481="","",IFERROR(INDEX($D$17:$D$480,MATCH($B481,$B$17:$B$480,0)),""))</f>
        <v/>
      </c>
      <c r="E481">
        <f>IFERROR(INDEX(Dim_Category[CategoryName],MATCH(INDEX(Dim_Vendor[DefaultCategoryID],MATCH($D481,Dim_Vendor[VendorName],0)),Dim_Category[CategoryID],0)),"")</f>
        <v/>
      </c>
      <c r="H481">
        <f>IF($C481="","",IF(SignConvention="Negative = Expense",IF($C481&lt;0,"Expense","Income"),IF($C481&gt;0,"Expense","Income")))</f>
        <v/>
      </c>
      <c r="I481" s="27">
        <f>IF($C481="","",ABS($C481))</f>
        <v/>
      </c>
    </row>
    <row r="482">
      <c r="A482" s="37" t="n"/>
      <c r="C482" s="27" t="n"/>
      <c r="D482">
        <f>IF($B482="","",IFERROR(INDEX($D$17:$D$481,MATCH($B482,$B$17:$B$481,0)),""))</f>
        <v/>
      </c>
      <c r="E482">
        <f>IFERROR(INDEX(Dim_Category[CategoryName],MATCH(INDEX(Dim_Vendor[DefaultCategoryID],MATCH($D482,Dim_Vendor[VendorName],0)),Dim_Category[CategoryID],0)),"")</f>
        <v/>
      </c>
      <c r="H482">
        <f>IF($C482="","",IF(SignConvention="Negative = Expense",IF($C482&lt;0,"Expense","Income"),IF($C482&gt;0,"Expense","Income")))</f>
        <v/>
      </c>
      <c r="I482" s="27">
        <f>IF($C482="","",ABS($C482))</f>
        <v/>
      </c>
    </row>
    <row r="483">
      <c r="A483" s="37" t="n"/>
      <c r="C483" s="27" t="n"/>
      <c r="D483">
        <f>IF($B483="","",IFERROR(INDEX($D$17:$D$482,MATCH($B483,$B$17:$B$482,0)),""))</f>
        <v/>
      </c>
      <c r="E483">
        <f>IFERROR(INDEX(Dim_Category[CategoryName],MATCH(INDEX(Dim_Vendor[DefaultCategoryID],MATCH($D483,Dim_Vendor[VendorName],0)),Dim_Category[CategoryID],0)),"")</f>
        <v/>
      </c>
      <c r="H483">
        <f>IF($C483="","",IF(SignConvention="Negative = Expense",IF($C483&lt;0,"Expense","Income"),IF($C483&gt;0,"Expense","Income")))</f>
        <v/>
      </c>
      <c r="I483" s="27">
        <f>IF($C483="","",ABS($C483))</f>
        <v/>
      </c>
    </row>
    <row r="484">
      <c r="A484" s="37" t="n"/>
      <c r="C484" s="27" t="n"/>
      <c r="D484">
        <f>IF($B484="","",IFERROR(INDEX($D$17:$D$483,MATCH($B484,$B$17:$B$483,0)),""))</f>
        <v/>
      </c>
      <c r="E484">
        <f>IFERROR(INDEX(Dim_Category[CategoryName],MATCH(INDEX(Dim_Vendor[DefaultCategoryID],MATCH($D484,Dim_Vendor[VendorName],0)),Dim_Category[CategoryID],0)),"")</f>
        <v/>
      </c>
      <c r="H484">
        <f>IF($C484="","",IF(SignConvention="Negative = Expense",IF($C484&lt;0,"Expense","Income"),IF($C484&gt;0,"Expense","Income")))</f>
        <v/>
      </c>
      <c r="I484" s="27">
        <f>IF($C484="","",ABS($C484))</f>
        <v/>
      </c>
    </row>
    <row r="485">
      <c r="A485" s="37" t="n"/>
      <c r="C485" s="27" t="n"/>
      <c r="D485">
        <f>IF($B485="","",IFERROR(INDEX($D$17:$D$484,MATCH($B485,$B$17:$B$484,0)),""))</f>
        <v/>
      </c>
      <c r="E485">
        <f>IFERROR(INDEX(Dim_Category[CategoryName],MATCH(INDEX(Dim_Vendor[DefaultCategoryID],MATCH($D485,Dim_Vendor[VendorName],0)),Dim_Category[CategoryID],0)),"")</f>
        <v/>
      </c>
      <c r="H485">
        <f>IF($C485="","",IF(SignConvention="Negative = Expense",IF($C485&lt;0,"Expense","Income"),IF($C485&gt;0,"Expense","Income")))</f>
        <v/>
      </c>
      <c r="I485" s="27">
        <f>IF($C485="","",ABS($C485))</f>
        <v/>
      </c>
    </row>
    <row r="486">
      <c r="A486" s="37" t="n"/>
      <c r="C486" s="27" t="n"/>
      <c r="D486">
        <f>IF($B486="","",IFERROR(INDEX($D$17:$D$485,MATCH($B486,$B$17:$B$485,0)),""))</f>
        <v/>
      </c>
      <c r="E486">
        <f>IFERROR(INDEX(Dim_Category[CategoryName],MATCH(INDEX(Dim_Vendor[DefaultCategoryID],MATCH($D486,Dim_Vendor[VendorName],0)),Dim_Category[CategoryID],0)),"")</f>
        <v/>
      </c>
      <c r="H486">
        <f>IF($C486="","",IF(SignConvention="Negative = Expense",IF($C486&lt;0,"Expense","Income"),IF($C486&gt;0,"Expense","Income")))</f>
        <v/>
      </c>
      <c r="I486" s="27">
        <f>IF($C486="","",ABS($C486))</f>
        <v/>
      </c>
    </row>
    <row r="487">
      <c r="A487" s="37" t="n"/>
      <c r="C487" s="27" t="n"/>
      <c r="D487">
        <f>IF($B487="","",IFERROR(INDEX($D$17:$D$486,MATCH($B487,$B$17:$B$486,0)),""))</f>
        <v/>
      </c>
      <c r="E487">
        <f>IFERROR(INDEX(Dim_Category[CategoryName],MATCH(INDEX(Dim_Vendor[DefaultCategoryID],MATCH($D487,Dim_Vendor[VendorName],0)),Dim_Category[CategoryID],0)),"")</f>
        <v/>
      </c>
      <c r="H487">
        <f>IF($C487="","",IF(SignConvention="Negative = Expense",IF($C487&lt;0,"Expense","Income"),IF($C487&gt;0,"Expense","Income")))</f>
        <v/>
      </c>
      <c r="I487" s="27">
        <f>IF($C487="","",ABS($C487))</f>
        <v/>
      </c>
    </row>
    <row r="488">
      <c r="A488" s="37" t="n"/>
      <c r="C488" s="27" t="n"/>
      <c r="D488">
        <f>IF($B488="","",IFERROR(INDEX($D$17:$D$487,MATCH($B488,$B$17:$B$487,0)),""))</f>
        <v/>
      </c>
      <c r="E488">
        <f>IFERROR(INDEX(Dim_Category[CategoryName],MATCH(INDEX(Dim_Vendor[DefaultCategoryID],MATCH($D488,Dim_Vendor[VendorName],0)),Dim_Category[CategoryID],0)),"")</f>
        <v/>
      </c>
      <c r="H488">
        <f>IF($C488="","",IF(SignConvention="Negative = Expense",IF($C488&lt;0,"Expense","Income"),IF($C488&gt;0,"Expense","Income")))</f>
        <v/>
      </c>
      <c r="I488" s="27">
        <f>IF($C488="","",ABS($C488))</f>
        <v/>
      </c>
    </row>
    <row r="489">
      <c r="A489" s="37" t="n"/>
      <c r="C489" s="27" t="n"/>
      <c r="D489">
        <f>IF($B489="","",IFERROR(INDEX($D$17:$D$488,MATCH($B489,$B$17:$B$488,0)),""))</f>
        <v/>
      </c>
      <c r="E489">
        <f>IFERROR(INDEX(Dim_Category[CategoryName],MATCH(INDEX(Dim_Vendor[DefaultCategoryID],MATCH($D489,Dim_Vendor[VendorName],0)),Dim_Category[CategoryID],0)),"")</f>
        <v/>
      </c>
      <c r="H489">
        <f>IF($C489="","",IF(SignConvention="Negative = Expense",IF($C489&lt;0,"Expense","Income"),IF($C489&gt;0,"Expense","Income")))</f>
        <v/>
      </c>
      <c r="I489" s="27">
        <f>IF($C489="","",ABS($C489))</f>
        <v/>
      </c>
    </row>
    <row r="490">
      <c r="A490" s="37" t="n"/>
      <c r="C490" s="27" t="n"/>
      <c r="D490">
        <f>IF($B490="","",IFERROR(INDEX($D$17:$D$489,MATCH($B490,$B$17:$B$489,0)),""))</f>
        <v/>
      </c>
      <c r="E490">
        <f>IFERROR(INDEX(Dim_Category[CategoryName],MATCH(INDEX(Dim_Vendor[DefaultCategoryID],MATCH($D490,Dim_Vendor[VendorName],0)),Dim_Category[CategoryID],0)),"")</f>
        <v/>
      </c>
      <c r="H490">
        <f>IF($C490="","",IF(SignConvention="Negative = Expense",IF($C490&lt;0,"Expense","Income"),IF($C490&gt;0,"Expense","Income")))</f>
        <v/>
      </c>
      <c r="I490" s="27">
        <f>IF($C490="","",ABS($C490))</f>
        <v/>
      </c>
    </row>
    <row r="491">
      <c r="A491" s="37" t="n"/>
      <c r="C491" s="27" t="n"/>
      <c r="D491">
        <f>IF($B491="","",IFERROR(INDEX($D$17:$D$490,MATCH($B491,$B$17:$B$490,0)),""))</f>
        <v/>
      </c>
      <c r="E491">
        <f>IFERROR(INDEX(Dim_Category[CategoryName],MATCH(INDEX(Dim_Vendor[DefaultCategoryID],MATCH($D491,Dim_Vendor[VendorName],0)),Dim_Category[CategoryID],0)),"")</f>
        <v/>
      </c>
      <c r="H491">
        <f>IF($C491="","",IF(SignConvention="Negative = Expense",IF($C491&lt;0,"Expense","Income"),IF($C491&gt;0,"Expense","Income")))</f>
        <v/>
      </c>
      <c r="I491" s="27">
        <f>IF($C491="","",ABS($C491))</f>
        <v/>
      </c>
    </row>
    <row r="492">
      <c r="A492" s="37" t="n"/>
      <c r="C492" s="27" t="n"/>
      <c r="D492">
        <f>IF($B492="","",IFERROR(INDEX($D$17:$D$491,MATCH($B492,$B$17:$B$491,0)),""))</f>
        <v/>
      </c>
      <c r="E492">
        <f>IFERROR(INDEX(Dim_Category[CategoryName],MATCH(INDEX(Dim_Vendor[DefaultCategoryID],MATCH($D492,Dim_Vendor[VendorName],0)),Dim_Category[CategoryID],0)),"")</f>
        <v/>
      </c>
      <c r="H492">
        <f>IF($C492="","",IF(SignConvention="Negative = Expense",IF($C492&lt;0,"Expense","Income"),IF($C492&gt;0,"Expense","Income")))</f>
        <v/>
      </c>
      <c r="I492" s="27">
        <f>IF($C492="","",ABS($C492))</f>
        <v/>
      </c>
    </row>
    <row r="493">
      <c r="A493" s="37" t="n"/>
      <c r="C493" s="27" t="n"/>
      <c r="D493">
        <f>IF($B493="","",IFERROR(INDEX($D$17:$D$492,MATCH($B493,$B$17:$B$492,0)),""))</f>
        <v/>
      </c>
      <c r="E493">
        <f>IFERROR(INDEX(Dim_Category[CategoryName],MATCH(INDEX(Dim_Vendor[DefaultCategoryID],MATCH($D493,Dim_Vendor[VendorName],0)),Dim_Category[CategoryID],0)),"")</f>
        <v/>
      </c>
      <c r="H493">
        <f>IF($C493="","",IF(SignConvention="Negative = Expense",IF($C493&lt;0,"Expense","Income"),IF($C493&gt;0,"Expense","Income")))</f>
        <v/>
      </c>
      <c r="I493" s="27">
        <f>IF($C493="","",ABS($C493))</f>
        <v/>
      </c>
    </row>
    <row r="494">
      <c r="A494" s="37" t="n"/>
      <c r="C494" s="27" t="n"/>
      <c r="D494">
        <f>IF($B494="","",IFERROR(INDEX($D$17:$D$493,MATCH($B494,$B$17:$B$493,0)),""))</f>
        <v/>
      </c>
      <c r="E494">
        <f>IFERROR(INDEX(Dim_Category[CategoryName],MATCH(INDEX(Dim_Vendor[DefaultCategoryID],MATCH($D494,Dim_Vendor[VendorName],0)),Dim_Category[CategoryID],0)),"")</f>
        <v/>
      </c>
      <c r="H494">
        <f>IF($C494="","",IF(SignConvention="Negative = Expense",IF($C494&lt;0,"Expense","Income"),IF($C494&gt;0,"Expense","Income")))</f>
        <v/>
      </c>
      <c r="I494" s="27">
        <f>IF($C494="","",ABS($C494))</f>
        <v/>
      </c>
    </row>
    <row r="495">
      <c r="A495" s="37" t="n"/>
      <c r="C495" s="27" t="n"/>
      <c r="D495">
        <f>IF($B495="","",IFERROR(INDEX($D$17:$D$494,MATCH($B495,$B$17:$B$494,0)),""))</f>
        <v/>
      </c>
      <c r="E495">
        <f>IFERROR(INDEX(Dim_Category[CategoryName],MATCH(INDEX(Dim_Vendor[DefaultCategoryID],MATCH($D495,Dim_Vendor[VendorName],0)),Dim_Category[CategoryID],0)),"")</f>
        <v/>
      </c>
      <c r="H495">
        <f>IF($C495="","",IF(SignConvention="Negative = Expense",IF($C495&lt;0,"Expense","Income"),IF($C495&gt;0,"Expense","Income")))</f>
        <v/>
      </c>
      <c r="I495" s="27">
        <f>IF($C495="","",ABS($C495))</f>
        <v/>
      </c>
    </row>
    <row r="496">
      <c r="A496" s="37" t="n"/>
      <c r="C496" s="27" t="n"/>
      <c r="D496">
        <f>IF($B496="","",IFERROR(INDEX($D$17:$D$495,MATCH($B496,$B$17:$B$495,0)),""))</f>
        <v/>
      </c>
      <c r="E496">
        <f>IFERROR(INDEX(Dim_Category[CategoryName],MATCH(INDEX(Dim_Vendor[DefaultCategoryID],MATCH($D496,Dim_Vendor[VendorName],0)),Dim_Category[CategoryID],0)),"")</f>
        <v/>
      </c>
      <c r="H496">
        <f>IF($C496="","",IF(SignConvention="Negative = Expense",IF($C496&lt;0,"Expense","Income"),IF($C496&gt;0,"Expense","Income")))</f>
        <v/>
      </c>
      <c r="I496" s="27">
        <f>IF($C496="","",ABS($C496))</f>
        <v/>
      </c>
    </row>
    <row r="497">
      <c r="A497" s="37" t="n"/>
      <c r="C497" s="27" t="n"/>
      <c r="D497">
        <f>IF($B497="","",IFERROR(INDEX($D$17:$D$496,MATCH($B497,$B$17:$B$496,0)),""))</f>
        <v/>
      </c>
      <c r="E497">
        <f>IFERROR(INDEX(Dim_Category[CategoryName],MATCH(INDEX(Dim_Vendor[DefaultCategoryID],MATCH($D497,Dim_Vendor[VendorName],0)),Dim_Category[CategoryID],0)),"")</f>
        <v/>
      </c>
      <c r="H497">
        <f>IF($C497="","",IF(SignConvention="Negative = Expense",IF($C497&lt;0,"Expense","Income"),IF($C497&gt;0,"Expense","Income")))</f>
        <v/>
      </c>
      <c r="I497" s="27">
        <f>IF($C497="","",ABS($C497))</f>
        <v/>
      </c>
    </row>
    <row r="498">
      <c r="A498" s="37" t="n"/>
      <c r="C498" s="27" t="n"/>
      <c r="D498">
        <f>IF($B498="","",IFERROR(INDEX($D$17:$D$497,MATCH($B498,$B$17:$B$497,0)),""))</f>
        <v/>
      </c>
      <c r="E498">
        <f>IFERROR(INDEX(Dim_Category[CategoryName],MATCH(INDEX(Dim_Vendor[DefaultCategoryID],MATCH($D498,Dim_Vendor[VendorName],0)),Dim_Category[CategoryID],0)),"")</f>
        <v/>
      </c>
      <c r="H498">
        <f>IF($C498="","",IF(SignConvention="Negative = Expense",IF($C498&lt;0,"Expense","Income"),IF($C498&gt;0,"Expense","Income")))</f>
        <v/>
      </c>
      <c r="I498" s="27">
        <f>IF($C498="","",ABS($C498))</f>
        <v/>
      </c>
    </row>
    <row r="499">
      <c r="A499" s="37" t="n"/>
      <c r="C499" s="27" t="n"/>
      <c r="D499">
        <f>IF($B499="","",IFERROR(INDEX($D$17:$D$498,MATCH($B499,$B$17:$B$498,0)),""))</f>
        <v/>
      </c>
      <c r="E499">
        <f>IFERROR(INDEX(Dim_Category[CategoryName],MATCH(INDEX(Dim_Vendor[DefaultCategoryID],MATCH($D499,Dim_Vendor[VendorName],0)),Dim_Category[CategoryID],0)),"")</f>
        <v/>
      </c>
      <c r="H499">
        <f>IF($C499="","",IF(SignConvention="Negative = Expense",IF($C499&lt;0,"Expense","Income"),IF($C499&gt;0,"Expense","Income")))</f>
        <v/>
      </c>
      <c r="I499" s="27">
        <f>IF($C499="","",ABS($C499))</f>
        <v/>
      </c>
    </row>
    <row r="500">
      <c r="A500" s="37" t="n"/>
      <c r="C500" s="27" t="n"/>
      <c r="D500">
        <f>IF($B500="","",IFERROR(INDEX($D$17:$D$499,MATCH($B500,$B$17:$B$499,0)),""))</f>
        <v/>
      </c>
      <c r="E500">
        <f>IFERROR(INDEX(Dim_Category[CategoryName],MATCH(INDEX(Dim_Vendor[DefaultCategoryID],MATCH($D500,Dim_Vendor[VendorName],0)),Dim_Category[CategoryID],0)),"")</f>
        <v/>
      </c>
      <c r="H500">
        <f>IF($C500="","",IF(SignConvention="Negative = Expense",IF($C500&lt;0,"Expense","Income"),IF($C500&gt;0,"Expense","Income")))</f>
        <v/>
      </c>
      <c r="I500" s="27">
        <f>IF($C500="","",ABS($C500))</f>
        <v/>
      </c>
    </row>
    <row r="501">
      <c r="A501" s="37" t="n"/>
      <c r="C501" s="27" t="n"/>
      <c r="D501">
        <f>IF($B501="","",IFERROR(INDEX($D$17:$D$500,MATCH($B501,$B$17:$B$500,0)),""))</f>
        <v/>
      </c>
      <c r="E501">
        <f>IFERROR(INDEX(Dim_Category[CategoryName],MATCH(INDEX(Dim_Vendor[DefaultCategoryID],MATCH($D501,Dim_Vendor[VendorName],0)),Dim_Category[CategoryID],0)),"")</f>
        <v/>
      </c>
      <c r="H501">
        <f>IF($C501="","",IF(SignConvention="Negative = Expense",IF($C501&lt;0,"Expense","Income"),IF($C501&gt;0,"Expense","Income")))</f>
        <v/>
      </c>
      <c r="I501" s="27">
        <f>IF($C501="","",ABS($C501))</f>
        <v/>
      </c>
    </row>
    <row r="502">
      <c r="A502" s="37" t="n"/>
      <c r="C502" s="27" t="n"/>
      <c r="D502">
        <f>IF($B502="","",IFERROR(INDEX($D$17:$D$501,MATCH($B502,$B$17:$B$501,0)),""))</f>
        <v/>
      </c>
      <c r="E502">
        <f>IFERROR(INDEX(Dim_Category[CategoryName],MATCH(INDEX(Dim_Vendor[DefaultCategoryID],MATCH($D502,Dim_Vendor[VendorName],0)),Dim_Category[CategoryID],0)),"")</f>
        <v/>
      </c>
      <c r="H502">
        <f>IF($C502="","",IF(SignConvention="Negative = Expense",IF($C502&lt;0,"Expense","Income"),IF($C502&gt;0,"Expense","Income")))</f>
        <v/>
      </c>
      <c r="I502" s="27">
        <f>IF($C502="","",ABS($C502))</f>
        <v/>
      </c>
    </row>
    <row r="503">
      <c r="A503" s="37" t="n"/>
      <c r="C503" s="27" t="n"/>
      <c r="D503">
        <f>IF($B503="","",IFERROR(INDEX($D$17:$D$502,MATCH($B503,$B$17:$B$502,0)),""))</f>
        <v/>
      </c>
      <c r="E503">
        <f>IFERROR(INDEX(Dim_Category[CategoryName],MATCH(INDEX(Dim_Vendor[DefaultCategoryID],MATCH($D503,Dim_Vendor[VendorName],0)),Dim_Category[CategoryID],0)),"")</f>
        <v/>
      </c>
      <c r="H503">
        <f>IF($C503="","",IF(SignConvention="Negative = Expense",IF($C503&lt;0,"Expense","Income"),IF($C503&gt;0,"Expense","Income")))</f>
        <v/>
      </c>
      <c r="I503" s="27">
        <f>IF($C503="","",ABS($C503))</f>
        <v/>
      </c>
    </row>
    <row r="504">
      <c r="A504" s="37" t="n"/>
      <c r="C504" s="27" t="n"/>
      <c r="D504">
        <f>IF($B504="","",IFERROR(INDEX($D$17:$D$503,MATCH($B504,$B$17:$B$503,0)),""))</f>
        <v/>
      </c>
      <c r="E504">
        <f>IFERROR(INDEX(Dim_Category[CategoryName],MATCH(INDEX(Dim_Vendor[DefaultCategoryID],MATCH($D504,Dim_Vendor[VendorName],0)),Dim_Category[CategoryID],0)),"")</f>
        <v/>
      </c>
      <c r="H504">
        <f>IF($C504="","",IF(SignConvention="Negative = Expense",IF($C504&lt;0,"Expense","Income"),IF($C504&gt;0,"Expense","Income")))</f>
        <v/>
      </c>
      <c r="I504" s="27">
        <f>IF($C504="","",ABS($C504))</f>
        <v/>
      </c>
    </row>
    <row r="505">
      <c r="A505" s="37" t="n"/>
      <c r="C505" s="27" t="n"/>
      <c r="D505">
        <f>IF($B505="","",IFERROR(INDEX($D$17:$D$504,MATCH($B505,$B$17:$B$504,0)),""))</f>
        <v/>
      </c>
      <c r="E505">
        <f>IFERROR(INDEX(Dim_Category[CategoryName],MATCH(INDEX(Dim_Vendor[DefaultCategoryID],MATCH($D505,Dim_Vendor[VendorName],0)),Dim_Category[CategoryID],0)),"")</f>
        <v/>
      </c>
      <c r="H505">
        <f>IF($C505="","",IF(SignConvention="Negative = Expense",IF($C505&lt;0,"Expense","Income"),IF($C505&gt;0,"Expense","Income")))</f>
        <v/>
      </c>
      <c r="I505" s="27">
        <f>IF($C505="","",ABS($C505))</f>
        <v/>
      </c>
    </row>
    <row r="506">
      <c r="A506" s="37" t="n"/>
      <c r="C506" s="27" t="n"/>
      <c r="D506">
        <f>IF($B506="","",IFERROR(INDEX($D$17:$D$505,MATCH($B506,$B$17:$B$505,0)),""))</f>
        <v/>
      </c>
      <c r="E506">
        <f>IFERROR(INDEX(Dim_Category[CategoryName],MATCH(INDEX(Dim_Vendor[DefaultCategoryID],MATCH($D506,Dim_Vendor[VendorName],0)),Dim_Category[CategoryID],0)),"")</f>
        <v/>
      </c>
      <c r="H506">
        <f>IF($C506="","",IF(SignConvention="Negative = Expense",IF($C506&lt;0,"Expense","Income"),IF($C506&gt;0,"Expense","Income")))</f>
        <v/>
      </c>
      <c r="I506" s="27">
        <f>IF($C506="","",ABS($C506))</f>
        <v/>
      </c>
    </row>
    <row r="507">
      <c r="A507" s="37" t="n"/>
      <c r="C507" s="27" t="n"/>
      <c r="D507">
        <f>IF($B507="","",IFERROR(INDEX($D$17:$D$506,MATCH($B507,$B$17:$B$506,0)),""))</f>
        <v/>
      </c>
      <c r="E507">
        <f>IFERROR(INDEX(Dim_Category[CategoryName],MATCH(INDEX(Dim_Vendor[DefaultCategoryID],MATCH($D507,Dim_Vendor[VendorName],0)),Dim_Category[CategoryID],0)),"")</f>
        <v/>
      </c>
      <c r="H507">
        <f>IF($C507="","",IF(SignConvention="Negative = Expense",IF($C507&lt;0,"Expense","Income"),IF($C507&gt;0,"Expense","Income")))</f>
        <v/>
      </c>
      <c r="I507" s="27">
        <f>IF($C507="","",ABS($C507))</f>
        <v/>
      </c>
    </row>
    <row r="508">
      <c r="A508" s="37" t="n"/>
      <c r="C508" s="27" t="n"/>
      <c r="D508">
        <f>IF($B508="","",IFERROR(INDEX($D$17:$D$507,MATCH($B508,$B$17:$B$507,0)),""))</f>
        <v/>
      </c>
      <c r="E508">
        <f>IFERROR(INDEX(Dim_Category[CategoryName],MATCH(INDEX(Dim_Vendor[DefaultCategoryID],MATCH($D508,Dim_Vendor[VendorName],0)),Dim_Category[CategoryID],0)),"")</f>
        <v/>
      </c>
      <c r="H508">
        <f>IF($C508="","",IF(SignConvention="Negative = Expense",IF($C508&lt;0,"Expense","Income"),IF($C508&gt;0,"Expense","Income")))</f>
        <v/>
      </c>
      <c r="I508" s="27">
        <f>IF($C508="","",ABS($C508))</f>
        <v/>
      </c>
    </row>
    <row r="509">
      <c r="A509" s="37" t="n"/>
      <c r="C509" s="27" t="n"/>
      <c r="D509">
        <f>IF($B509="","",IFERROR(INDEX($D$17:$D$508,MATCH($B509,$B$17:$B$508,0)),""))</f>
        <v/>
      </c>
      <c r="E509">
        <f>IFERROR(INDEX(Dim_Category[CategoryName],MATCH(INDEX(Dim_Vendor[DefaultCategoryID],MATCH($D509,Dim_Vendor[VendorName],0)),Dim_Category[CategoryID],0)),"")</f>
        <v/>
      </c>
      <c r="H509">
        <f>IF($C509="","",IF(SignConvention="Negative = Expense",IF($C509&lt;0,"Expense","Income"),IF($C509&gt;0,"Expense","Income")))</f>
        <v/>
      </c>
      <c r="I509" s="27">
        <f>IF($C509="","",ABS($C509))</f>
        <v/>
      </c>
    </row>
    <row r="510">
      <c r="A510" s="37" t="n"/>
      <c r="C510" s="27" t="n"/>
      <c r="D510">
        <f>IF($B510="","",IFERROR(INDEX($D$17:$D$509,MATCH($B510,$B$17:$B$509,0)),""))</f>
        <v/>
      </c>
      <c r="E510">
        <f>IFERROR(INDEX(Dim_Category[CategoryName],MATCH(INDEX(Dim_Vendor[DefaultCategoryID],MATCH($D510,Dim_Vendor[VendorName],0)),Dim_Category[CategoryID],0)),"")</f>
        <v/>
      </c>
      <c r="H510">
        <f>IF($C510="","",IF(SignConvention="Negative = Expense",IF($C510&lt;0,"Expense","Income"),IF($C510&gt;0,"Expense","Income")))</f>
        <v/>
      </c>
      <c r="I510" s="27">
        <f>IF($C510="","",ABS($C510))</f>
        <v/>
      </c>
    </row>
    <row r="511">
      <c r="A511" s="37" t="n"/>
      <c r="C511" s="27" t="n"/>
      <c r="D511">
        <f>IF($B511="","",IFERROR(INDEX($D$17:$D$510,MATCH($B511,$B$17:$B$510,0)),""))</f>
        <v/>
      </c>
      <c r="E511">
        <f>IFERROR(INDEX(Dim_Category[CategoryName],MATCH(INDEX(Dim_Vendor[DefaultCategoryID],MATCH($D511,Dim_Vendor[VendorName],0)),Dim_Category[CategoryID],0)),"")</f>
        <v/>
      </c>
      <c r="H511">
        <f>IF($C511="","",IF(SignConvention="Negative = Expense",IF($C511&lt;0,"Expense","Income"),IF($C511&gt;0,"Expense","Income")))</f>
        <v/>
      </c>
      <c r="I511" s="27">
        <f>IF($C511="","",ABS($C511))</f>
        <v/>
      </c>
    </row>
    <row r="512">
      <c r="A512" s="37" t="n"/>
      <c r="C512" s="27" t="n"/>
      <c r="D512">
        <f>IF($B512="","",IFERROR(INDEX($D$17:$D$511,MATCH($B512,$B$17:$B$511,0)),""))</f>
        <v/>
      </c>
      <c r="E512">
        <f>IFERROR(INDEX(Dim_Category[CategoryName],MATCH(INDEX(Dim_Vendor[DefaultCategoryID],MATCH($D512,Dim_Vendor[VendorName],0)),Dim_Category[CategoryID],0)),"")</f>
        <v/>
      </c>
      <c r="H512">
        <f>IF($C512="","",IF(SignConvention="Negative = Expense",IF($C512&lt;0,"Expense","Income"),IF($C512&gt;0,"Expense","Income")))</f>
        <v/>
      </c>
      <c r="I512" s="27">
        <f>IF($C512="","",ABS($C512))</f>
        <v/>
      </c>
    </row>
    <row r="513">
      <c r="A513" s="37" t="n"/>
      <c r="C513" s="27" t="n"/>
      <c r="D513">
        <f>IF($B513="","",IFERROR(INDEX($D$17:$D$512,MATCH($B513,$B$17:$B$512,0)),""))</f>
        <v/>
      </c>
      <c r="E513">
        <f>IFERROR(INDEX(Dim_Category[CategoryName],MATCH(INDEX(Dim_Vendor[DefaultCategoryID],MATCH($D513,Dim_Vendor[VendorName],0)),Dim_Category[CategoryID],0)),"")</f>
        <v/>
      </c>
      <c r="H513">
        <f>IF($C513="","",IF(SignConvention="Negative = Expense",IF($C513&lt;0,"Expense","Income"),IF($C513&gt;0,"Expense","Income")))</f>
        <v/>
      </c>
      <c r="I513" s="27">
        <f>IF($C513="","",ABS($C513))</f>
        <v/>
      </c>
    </row>
    <row r="514">
      <c r="A514" s="37" t="n"/>
      <c r="C514" s="27" t="n"/>
      <c r="D514">
        <f>IF($B514="","",IFERROR(INDEX($D$17:$D$513,MATCH($B514,$B$17:$B$513,0)),""))</f>
        <v/>
      </c>
      <c r="E514">
        <f>IFERROR(INDEX(Dim_Category[CategoryName],MATCH(INDEX(Dim_Vendor[DefaultCategoryID],MATCH($D514,Dim_Vendor[VendorName],0)),Dim_Category[CategoryID],0)),"")</f>
        <v/>
      </c>
      <c r="H514">
        <f>IF($C514="","",IF(SignConvention="Negative = Expense",IF($C514&lt;0,"Expense","Income"),IF($C514&gt;0,"Expense","Income")))</f>
        <v/>
      </c>
      <c r="I514" s="27">
        <f>IF($C514="","",ABS($C514))</f>
        <v/>
      </c>
    </row>
    <row r="515">
      <c r="A515" s="37" t="n"/>
      <c r="C515" s="27" t="n"/>
      <c r="D515">
        <f>IF($B515="","",IFERROR(INDEX($D$17:$D$514,MATCH($B515,$B$17:$B$514,0)),""))</f>
        <v/>
      </c>
      <c r="E515">
        <f>IFERROR(INDEX(Dim_Category[CategoryName],MATCH(INDEX(Dim_Vendor[DefaultCategoryID],MATCH($D515,Dim_Vendor[VendorName],0)),Dim_Category[CategoryID],0)),"")</f>
        <v/>
      </c>
      <c r="H515">
        <f>IF($C515="","",IF(SignConvention="Negative = Expense",IF($C515&lt;0,"Expense","Income"),IF($C515&gt;0,"Expense","Income")))</f>
        <v/>
      </c>
      <c r="I515" s="27">
        <f>IF($C515="","",ABS($C515))</f>
        <v/>
      </c>
    </row>
    <row r="516">
      <c r="A516" s="37" t="n"/>
      <c r="C516" s="27" t="n"/>
      <c r="D516">
        <f>IF($B516="","",IFERROR(INDEX($D$17:$D$515,MATCH($B516,$B$17:$B$515,0)),""))</f>
        <v/>
      </c>
      <c r="E516">
        <f>IFERROR(INDEX(Dim_Category[CategoryName],MATCH(INDEX(Dim_Vendor[DefaultCategoryID],MATCH($D516,Dim_Vendor[VendorName],0)),Dim_Category[CategoryID],0)),"")</f>
        <v/>
      </c>
      <c r="H516">
        <f>IF($C516="","",IF(SignConvention="Negative = Expense",IF($C516&lt;0,"Expense","Income"),IF($C516&gt;0,"Expense","Income")))</f>
        <v/>
      </c>
      <c r="I516" s="27">
        <f>IF($C516="","",ABS($C516))</f>
        <v/>
      </c>
    </row>
  </sheetData>
  <mergeCells count="12">
    <mergeCell ref="A6:K6"/>
    <mergeCell ref="E13:K13"/>
    <mergeCell ref="A13:C13"/>
    <mergeCell ref="A4:K4"/>
    <mergeCell ref="A9:K9"/>
    <mergeCell ref="A15:K15"/>
    <mergeCell ref="A7:K7"/>
    <mergeCell ref="A11:K11"/>
    <mergeCell ref="A10:K10"/>
    <mergeCell ref="A5:K5"/>
    <mergeCell ref="A1:K2"/>
    <mergeCell ref="A8:K8"/>
  </mergeCells>
  <conditionalFormatting sqref="H17:H516">
    <cfRule type="cellIs" priority="1" operator="equal" dxfId="3">
      <formula>"Expense"</formula>
    </cfRule>
    <cfRule type="cellIs" priority="2" operator="equal" dxfId="4">
      <formula>"Income"</formula>
    </cfRule>
  </conditionalFormatting>
  <conditionalFormatting sqref="D17:D516">
    <cfRule type="expression" priority="3" dxfId="5">
      <formula>AND($C17&lt;&gt;"",$D17="")</formula>
    </cfRule>
  </conditionalFormatting>
  <dataValidations count="6">
    <dataValidation sqref="D13" showDropDown="0" showInputMessage="0" showErrorMessage="0" allowBlank="0" type="list">
      <formula1>"Negative = Expense,Positive = Expense"</formula1>
    </dataValidation>
    <dataValidation sqref="D17:D516" showDropDown="0" showInputMessage="0" showErrorMessage="1" allowBlank="1" errorTitle="Invalid Entry" error="Please choose a value from the dropdown list." type="list">
      <formula1>VendorNameList</formula1>
    </dataValidation>
    <dataValidation sqref="E17:E516" showDropDown="0" showInputMessage="0" showErrorMessage="1" allowBlank="1" errorTitle="Invalid Entry" error="Please choose a value from the dropdown list." type="list">
      <formula1>ExpenseCategoryList</formula1>
    </dataValidation>
    <dataValidation sqref="F17:F516" showDropDown="0" showInputMessage="0" showErrorMessage="1" allowBlank="1" errorTitle="Invalid Entry" error="Please choose a value from the dropdown list." type="list">
      <formula1>AccountNameList</formula1>
    </dataValidation>
    <dataValidation sqref="G17:G516" showDropDown="0" showInputMessage="0" showErrorMessage="1" allowBlank="1" errorTitle="Invalid Entry" error="Please choose a value from the dropdown list." type="list">
      <formula1>PaymentMethodList</formula1>
    </dataValidation>
    <dataValidation sqref="J17:J516" showDropDown="0" showInputMessage="0" showErrorMessage="1" allowBlank="1" errorTitle="Invalid Entry" error="Please choose a value from the dropdown list." type="list">
      <formula1>List_NeedWant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/>
  </sheetPr>
  <dimension ref="A1:N3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hidden="1" width="10" customWidth="1" min="4" max="4"/>
    <col width="16" customWidth="1" min="5" max="5"/>
    <col hidden="1" width="10" customWidth="1" min="6" max="6"/>
    <col width="20" customWidth="1" min="7" max="7"/>
    <col hidden="1"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24" customWidth="1" min="13" max="13"/>
    <col width="30" customWidth="1" min="14" max="14"/>
  </cols>
  <sheetData>
    <row r="1" ht="30" customHeight="1">
      <c r="A1" s="29" t="inlineStr">
        <is>
          <t>Income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20" customHeight="1">
      <c r="A4" s="26" t="inlineStr">
        <is>
          <t>Dim_Source</t>
        </is>
      </c>
      <c r="B4" s="2" t="n"/>
    </row>
    <row r="5">
      <c r="A5" s="36" t="inlineStr">
        <is>
          <t>SourceID</t>
        </is>
      </c>
      <c r="B5" s="36" t="inlineStr">
        <is>
          <t>SourceName</t>
        </is>
      </c>
    </row>
    <row r="6">
      <c r="A6" s="38" t="n">
        <v>1</v>
      </c>
      <c r="B6" s="38" t="inlineStr">
        <is>
          <t>Employer Payroll Inc</t>
        </is>
      </c>
    </row>
    <row r="7">
      <c r="A7" s="38" t="n">
        <v>2</v>
      </c>
      <c r="B7" s="38" t="inlineStr">
        <is>
          <t>Other</t>
        </is>
      </c>
    </row>
    <row r="10" ht="20" customHeight="1">
      <c r="A10" s="26" t="inlineStr">
        <is>
          <t>Fact_Income  —  enter each paycheck/deposit here. Dropdowns keep entries consistent; ID columns (hidden) auto-lookup for reporting.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6" t="inlineStr">
        <is>
          <t>IncomeID</t>
        </is>
      </c>
      <c r="B11" s="36" t="inlineStr">
        <is>
          <t>Date</t>
        </is>
      </c>
      <c r="C11" s="36" t="inlineStr">
        <is>
          <t>SourceName</t>
        </is>
      </c>
      <c r="D11" s="36" t="inlineStr">
        <is>
          <t>SourceID</t>
        </is>
      </c>
      <c r="E11" s="36" t="inlineStr">
        <is>
          <t>CategoryName</t>
        </is>
      </c>
      <c r="F11" s="36" t="inlineStr">
        <is>
          <t>CategoryID</t>
        </is>
      </c>
      <c r="G11" s="36" t="inlineStr">
        <is>
          <t>AccountName</t>
        </is>
      </c>
      <c r="H11" s="36" t="inlineStr">
        <is>
          <t>AccountID</t>
        </is>
      </c>
      <c r="I11" s="36" t="inlineStr">
        <is>
          <t>GrossAmount</t>
        </is>
      </c>
      <c r="J11" s="36" t="inlineStr">
        <is>
          <t>TaxesWithheld</t>
        </is>
      </c>
      <c r="K11" s="36" t="inlineStr">
        <is>
          <t>NetAmount</t>
        </is>
      </c>
      <c r="L11" s="36" t="inlineStr">
        <is>
          <t>RecurringFlag</t>
        </is>
      </c>
      <c r="M11" s="36" t="inlineStr">
        <is>
          <t>Notes</t>
        </is>
      </c>
      <c r="N11" s="36" t="inlineStr">
        <is>
          <t>Description</t>
        </is>
      </c>
    </row>
    <row r="12">
      <c r="A12" s="38">
        <f>ROW()-11</f>
        <v/>
      </c>
      <c r="B12" s="39" t="n">
        <v>45839</v>
      </c>
      <c r="C12" s="38" t="inlineStr">
        <is>
          <t>Employer Payroll Inc</t>
        </is>
      </c>
      <c r="D12" s="38">
        <f>IFERROR(INDEX(Dim_Source[SourceID],MATCH($C12,Dim_Source[SourceName],0)),"")</f>
        <v/>
      </c>
      <c r="E12" s="38" t="inlineStr">
        <is>
          <t>Payroll</t>
        </is>
      </c>
      <c r="F12" s="38">
        <f>IFERROR(INDEX(Dim_Category[CategoryID],MATCH($E12,Dim_Category[CategoryName],0)),"")</f>
        <v/>
      </c>
      <c r="G12" s="38" t="inlineStr">
        <is>
          <t>Checking</t>
        </is>
      </c>
      <c r="H12" s="38">
        <f>IFERROR(INDEX(Dim_Account[AccountID],MATCH($G12,Dim_Account[AccountName],0)),"")</f>
        <v/>
      </c>
      <c r="I12" s="40" t="n">
        <v>5100</v>
      </c>
      <c r="J12" s="40" t="n">
        <v>1224</v>
      </c>
      <c r="K12" s="40">
        <f>$I12-$J12</f>
        <v/>
      </c>
      <c r="L12" s="38" t="inlineStr">
        <is>
          <t>Yes</t>
        </is>
      </c>
      <c r="M12" s="38" t="inlineStr">
        <is>
          <t>Semi-monthly payroll</t>
        </is>
      </c>
      <c r="N12" s="38" t="n"/>
    </row>
    <row r="13">
      <c r="A13" s="38">
        <f>ROW()-11</f>
        <v/>
      </c>
      <c r="B13" s="39" t="n">
        <v>45853</v>
      </c>
      <c r="C13" s="38" t="inlineStr">
        <is>
          <t>Employer Payroll Inc</t>
        </is>
      </c>
      <c r="D13" s="38">
        <f>IFERROR(INDEX(Dim_Source[SourceID],MATCH($C13,Dim_Source[SourceName],0)),"")</f>
        <v/>
      </c>
      <c r="E13" s="38" t="inlineStr">
        <is>
          <t>Payroll</t>
        </is>
      </c>
      <c r="F13" s="38">
        <f>IFERROR(INDEX(Dim_Category[CategoryID],MATCH($E13,Dim_Category[CategoryName],0)),"")</f>
        <v/>
      </c>
      <c r="G13" s="38" t="inlineStr">
        <is>
          <t>Checking</t>
        </is>
      </c>
      <c r="H13" s="38">
        <f>IFERROR(INDEX(Dim_Account[AccountID],MATCH($G13,Dim_Account[AccountName],0)),"")</f>
        <v/>
      </c>
      <c r="I13" s="40" t="n">
        <v>5100</v>
      </c>
      <c r="J13" s="40" t="n">
        <v>1224</v>
      </c>
      <c r="K13" s="40">
        <f>$I13-$J13</f>
        <v/>
      </c>
      <c r="L13" s="38" t="inlineStr">
        <is>
          <t>Yes</t>
        </is>
      </c>
      <c r="M13" s="38" t="inlineStr">
        <is>
          <t>Semi-monthly payroll</t>
        </is>
      </c>
      <c r="N13" s="38" t="n"/>
    </row>
    <row r="14">
      <c r="A14" s="38">
        <f>ROW()-11</f>
        <v/>
      </c>
      <c r="B14" s="39" t="n">
        <v>45870</v>
      </c>
      <c r="C14" s="38" t="inlineStr">
        <is>
          <t>Employer Payroll Inc</t>
        </is>
      </c>
      <c r="D14" s="38">
        <f>IFERROR(INDEX(Dim_Source[SourceID],MATCH($C14,Dim_Source[SourceName],0)),"")</f>
        <v/>
      </c>
      <c r="E14" s="38" t="inlineStr">
        <is>
          <t>Payroll</t>
        </is>
      </c>
      <c r="F14" s="38">
        <f>IFERROR(INDEX(Dim_Category[CategoryID],MATCH($E14,Dim_Category[CategoryName],0)),"")</f>
        <v/>
      </c>
      <c r="G14" s="38" t="inlineStr">
        <is>
          <t>Checking</t>
        </is>
      </c>
      <c r="H14" s="38">
        <f>IFERROR(INDEX(Dim_Account[AccountID],MATCH($G14,Dim_Account[AccountName],0)),"")</f>
        <v/>
      </c>
      <c r="I14" s="40" t="n">
        <v>5100</v>
      </c>
      <c r="J14" s="40" t="n">
        <v>1224</v>
      </c>
      <c r="K14" s="40">
        <f>$I14-$J14</f>
        <v/>
      </c>
      <c r="L14" s="38" t="inlineStr">
        <is>
          <t>Yes</t>
        </is>
      </c>
      <c r="M14" s="38" t="inlineStr">
        <is>
          <t>Semi-monthly payroll</t>
        </is>
      </c>
      <c r="N14" s="38" t="n"/>
    </row>
    <row r="15">
      <c r="A15" s="38">
        <f>ROW()-11</f>
        <v/>
      </c>
      <c r="B15" s="39" t="n">
        <v>45884</v>
      </c>
      <c r="C15" s="38" t="inlineStr">
        <is>
          <t>Employer Payroll Inc</t>
        </is>
      </c>
      <c r="D15" s="38">
        <f>IFERROR(INDEX(Dim_Source[SourceID],MATCH($C15,Dim_Source[SourceName],0)),"")</f>
        <v/>
      </c>
      <c r="E15" s="38" t="inlineStr">
        <is>
          <t>Payroll</t>
        </is>
      </c>
      <c r="F15" s="38">
        <f>IFERROR(INDEX(Dim_Category[CategoryID],MATCH($E15,Dim_Category[CategoryName],0)),"")</f>
        <v/>
      </c>
      <c r="G15" s="38" t="inlineStr">
        <is>
          <t>Checking</t>
        </is>
      </c>
      <c r="H15" s="38">
        <f>IFERROR(INDEX(Dim_Account[AccountID],MATCH($G15,Dim_Account[AccountName],0)),"")</f>
        <v/>
      </c>
      <c r="I15" s="40" t="n">
        <v>5100</v>
      </c>
      <c r="J15" s="40" t="n">
        <v>1224</v>
      </c>
      <c r="K15" s="40">
        <f>$I15-$J15</f>
        <v/>
      </c>
      <c r="L15" s="38" t="inlineStr">
        <is>
          <t>Yes</t>
        </is>
      </c>
      <c r="M15" s="38" t="inlineStr">
        <is>
          <t>Semi-monthly payroll</t>
        </is>
      </c>
      <c r="N15" s="38" t="n"/>
    </row>
    <row r="16">
      <c r="A16" s="38">
        <f>ROW()-11</f>
        <v/>
      </c>
      <c r="B16" s="39" t="n">
        <v>45901</v>
      </c>
      <c r="C16" s="38" t="inlineStr">
        <is>
          <t>Employer Payroll Inc</t>
        </is>
      </c>
      <c r="D16" s="38">
        <f>IFERROR(INDEX(Dim_Source[SourceID],MATCH($C16,Dim_Source[SourceName],0)),"")</f>
        <v/>
      </c>
      <c r="E16" s="38" t="inlineStr">
        <is>
          <t>Payroll</t>
        </is>
      </c>
      <c r="F16" s="38">
        <f>IFERROR(INDEX(Dim_Category[CategoryID],MATCH($E16,Dim_Category[CategoryName],0)),"")</f>
        <v/>
      </c>
      <c r="G16" s="38" t="inlineStr">
        <is>
          <t>Checking</t>
        </is>
      </c>
      <c r="H16" s="38">
        <f>IFERROR(INDEX(Dim_Account[AccountID],MATCH($G16,Dim_Account[AccountName],0)),"")</f>
        <v/>
      </c>
      <c r="I16" s="40" t="n">
        <v>5100</v>
      </c>
      <c r="J16" s="40" t="n">
        <v>1224</v>
      </c>
      <c r="K16" s="40">
        <f>$I16-$J16</f>
        <v/>
      </c>
      <c r="L16" s="38" t="inlineStr">
        <is>
          <t>Yes</t>
        </is>
      </c>
      <c r="M16" s="38" t="inlineStr">
        <is>
          <t>Semi-monthly payroll</t>
        </is>
      </c>
      <c r="N16" s="38" t="n"/>
    </row>
    <row r="17">
      <c r="A17" s="38">
        <f>ROW()-11</f>
        <v/>
      </c>
      <c r="B17" s="39" t="n">
        <v>45915</v>
      </c>
      <c r="C17" s="38" t="inlineStr">
        <is>
          <t>Employer Payroll Inc</t>
        </is>
      </c>
      <c r="D17" s="38">
        <f>IFERROR(INDEX(Dim_Source[SourceID],MATCH($C17,Dim_Source[SourceName],0)),"")</f>
        <v/>
      </c>
      <c r="E17" s="38" t="inlineStr">
        <is>
          <t>Payroll</t>
        </is>
      </c>
      <c r="F17" s="38">
        <f>IFERROR(INDEX(Dim_Category[CategoryID],MATCH($E17,Dim_Category[CategoryName],0)),"")</f>
        <v/>
      </c>
      <c r="G17" s="38" t="inlineStr">
        <is>
          <t>Checking</t>
        </is>
      </c>
      <c r="H17" s="38">
        <f>IFERROR(INDEX(Dim_Account[AccountID],MATCH($G17,Dim_Account[AccountName],0)),"")</f>
        <v/>
      </c>
      <c r="I17" s="40" t="n">
        <v>5100</v>
      </c>
      <c r="J17" s="40" t="n">
        <v>1224</v>
      </c>
      <c r="K17" s="40">
        <f>$I17-$J17</f>
        <v/>
      </c>
      <c r="L17" s="38" t="inlineStr">
        <is>
          <t>Yes</t>
        </is>
      </c>
      <c r="M17" s="38" t="inlineStr">
        <is>
          <t>Semi-monthly payroll</t>
        </is>
      </c>
      <c r="N17" s="38" t="n"/>
    </row>
    <row r="18">
      <c r="A18" s="38">
        <f>ROW()-11</f>
        <v/>
      </c>
      <c r="B18" s="39" t="n">
        <v>45931</v>
      </c>
      <c r="C18" s="38" t="inlineStr">
        <is>
          <t>Employer Payroll Inc</t>
        </is>
      </c>
      <c r="D18" s="38">
        <f>IFERROR(INDEX(Dim_Source[SourceID],MATCH($C18,Dim_Source[SourceName],0)),"")</f>
        <v/>
      </c>
      <c r="E18" s="38" t="inlineStr">
        <is>
          <t>Payroll</t>
        </is>
      </c>
      <c r="F18" s="38">
        <f>IFERROR(INDEX(Dim_Category[CategoryID],MATCH($E18,Dim_Category[CategoryName],0)),"")</f>
        <v/>
      </c>
      <c r="G18" s="38" t="inlineStr">
        <is>
          <t>Checking</t>
        </is>
      </c>
      <c r="H18" s="38">
        <f>IFERROR(INDEX(Dim_Account[AccountID],MATCH($G18,Dim_Account[AccountName],0)),"")</f>
        <v/>
      </c>
      <c r="I18" s="40" t="n">
        <v>5100</v>
      </c>
      <c r="J18" s="40" t="n">
        <v>1224</v>
      </c>
      <c r="K18" s="40">
        <f>$I18-$J18</f>
        <v/>
      </c>
      <c r="L18" s="38" t="inlineStr">
        <is>
          <t>Yes</t>
        </is>
      </c>
      <c r="M18" s="38" t="inlineStr">
        <is>
          <t>Semi-monthly payroll</t>
        </is>
      </c>
      <c r="N18" s="38" t="n"/>
    </row>
    <row r="19">
      <c r="A19" s="38">
        <f>ROW()-11</f>
        <v/>
      </c>
      <c r="B19" s="39" t="n">
        <v>45945</v>
      </c>
      <c r="C19" s="38" t="inlineStr">
        <is>
          <t>Employer Payroll Inc</t>
        </is>
      </c>
      <c r="D19" s="38">
        <f>IFERROR(INDEX(Dim_Source[SourceID],MATCH($C19,Dim_Source[SourceName],0)),"")</f>
        <v/>
      </c>
      <c r="E19" s="38" t="inlineStr">
        <is>
          <t>Payroll</t>
        </is>
      </c>
      <c r="F19" s="38">
        <f>IFERROR(INDEX(Dim_Category[CategoryID],MATCH($E19,Dim_Category[CategoryName],0)),"")</f>
        <v/>
      </c>
      <c r="G19" s="38" t="inlineStr">
        <is>
          <t>Checking</t>
        </is>
      </c>
      <c r="H19" s="38">
        <f>IFERROR(INDEX(Dim_Account[AccountID],MATCH($G19,Dim_Account[AccountName],0)),"")</f>
        <v/>
      </c>
      <c r="I19" s="40" t="n">
        <v>5100</v>
      </c>
      <c r="J19" s="40" t="n">
        <v>1224</v>
      </c>
      <c r="K19" s="40">
        <f>$I19-$J19</f>
        <v/>
      </c>
      <c r="L19" s="38" t="inlineStr">
        <is>
          <t>Yes</t>
        </is>
      </c>
      <c r="M19" s="38" t="inlineStr">
        <is>
          <t>Semi-monthly payroll</t>
        </is>
      </c>
      <c r="N19" s="38" t="n"/>
    </row>
    <row r="20">
      <c r="A20" s="38">
        <f>ROW()-11</f>
        <v/>
      </c>
      <c r="B20" s="39" t="n">
        <v>45962</v>
      </c>
      <c r="C20" s="38" t="inlineStr">
        <is>
          <t>Employer Payroll Inc</t>
        </is>
      </c>
      <c r="D20" s="38">
        <f>IFERROR(INDEX(Dim_Source[SourceID],MATCH($C20,Dim_Source[SourceName],0)),"")</f>
        <v/>
      </c>
      <c r="E20" s="38" t="inlineStr">
        <is>
          <t>Payroll</t>
        </is>
      </c>
      <c r="F20" s="38">
        <f>IFERROR(INDEX(Dim_Category[CategoryID],MATCH($E20,Dim_Category[CategoryName],0)),"")</f>
        <v/>
      </c>
      <c r="G20" s="38" t="inlineStr">
        <is>
          <t>Checking</t>
        </is>
      </c>
      <c r="H20" s="38">
        <f>IFERROR(INDEX(Dim_Account[AccountID],MATCH($G20,Dim_Account[AccountName],0)),"")</f>
        <v/>
      </c>
      <c r="I20" s="40" t="n">
        <v>5100</v>
      </c>
      <c r="J20" s="40" t="n">
        <v>1224</v>
      </c>
      <c r="K20" s="40">
        <f>$I20-$J20</f>
        <v/>
      </c>
      <c r="L20" s="38" t="inlineStr">
        <is>
          <t>Yes</t>
        </is>
      </c>
      <c r="M20" s="38" t="inlineStr">
        <is>
          <t>Semi-monthly payroll</t>
        </is>
      </c>
      <c r="N20" s="38" t="n"/>
    </row>
    <row r="21">
      <c r="A21" s="38">
        <f>ROW()-11</f>
        <v/>
      </c>
      <c r="B21" s="39" t="n">
        <v>45976</v>
      </c>
      <c r="C21" s="38" t="inlineStr">
        <is>
          <t>Employer Payroll Inc</t>
        </is>
      </c>
      <c r="D21" s="38">
        <f>IFERROR(INDEX(Dim_Source[SourceID],MATCH($C21,Dim_Source[SourceName],0)),"")</f>
        <v/>
      </c>
      <c r="E21" s="38" t="inlineStr">
        <is>
          <t>Payroll</t>
        </is>
      </c>
      <c r="F21" s="38">
        <f>IFERROR(INDEX(Dim_Category[CategoryID],MATCH($E21,Dim_Category[CategoryName],0)),"")</f>
        <v/>
      </c>
      <c r="G21" s="38" t="inlineStr">
        <is>
          <t>Checking</t>
        </is>
      </c>
      <c r="H21" s="38">
        <f>IFERROR(INDEX(Dim_Account[AccountID],MATCH($G21,Dim_Account[AccountName],0)),"")</f>
        <v/>
      </c>
      <c r="I21" s="40" t="n">
        <v>5100</v>
      </c>
      <c r="J21" s="40" t="n">
        <v>1224</v>
      </c>
      <c r="K21" s="40">
        <f>$I21-$J21</f>
        <v/>
      </c>
      <c r="L21" s="38" t="inlineStr">
        <is>
          <t>Yes</t>
        </is>
      </c>
      <c r="M21" s="38" t="inlineStr">
        <is>
          <t>Semi-monthly payroll</t>
        </is>
      </c>
      <c r="N21" s="38" t="n"/>
    </row>
    <row r="22">
      <c r="A22" s="38">
        <f>ROW()-11</f>
        <v/>
      </c>
      <c r="B22" s="39" t="n">
        <v>45992</v>
      </c>
      <c r="C22" s="38" t="inlineStr">
        <is>
          <t>Employer Payroll Inc</t>
        </is>
      </c>
      <c r="D22" s="38">
        <f>IFERROR(INDEX(Dim_Source[SourceID],MATCH($C22,Dim_Source[SourceName],0)),"")</f>
        <v/>
      </c>
      <c r="E22" s="38" t="inlineStr">
        <is>
          <t>Payroll</t>
        </is>
      </c>
      <c r="F22" s="38">
        <f>IFERROR(INDEX(Dim_Category[CategoryID],MATCH($E22,Dim_Category[CategoryName],0)),"")</f>
        <v/>
      </c>
      <c r="G22" s="38" t="inlineStr">
        <is>
          <t>Checking</t>
        </is>
      </c>
      <c r="H22" s="38">
        <f>IFERROR(INDEX(Dim_Account[AccountID],MATCH($G22,Dim_Account[AccountName],0)),"")</f>
        <v/>
      </c>
      <c r="I22" s="40" t="n">
        <v>5100</v>
      </c>
      <c r="J22" s="40" t="n">
        <v>1224</v>
      </c>
      <c r="K22" s="40">
        <f>$I22-$J22</f>
        <v/>
      </c>
      <c r="L22" s="38" t="inlineStr">
        <is>
          <t>Yes</t>
        </is>
      </c>
      <c r="M22" s="38" t="inlineStr">
        <is>
          <t>Semi-monthly payroll</t>
        </is>
      </c>
      <c r="N22" s="38" t="n"/>
    </row>
    <row r="23">
      <c r="A23" s="38">
        <f>ROW()-11</f>
        <v/>
      </c>
      <c r="B23" s="39" t="n">
        <v>46006</v>
      </c>
      <c r="C23" s="38" t="inlineStr">
        <is>
          <t>Employer Payroll Inc</t>
        </is>
      </c>
      <c r="D23" s="38">
        <f>IFERROR(INDEX(Dim_Source[SourceID],MATCH($C23,Dim_Source[SourceName],0)),"")</f>
        <v/>
      </c>
      <c r="E23" s="38" t="inlineStr">
        <is>
          <t>Payroll</t>
        </is>
      </c>
      <c r="F23" s="38">
        <f>IFERROR(INDEX(Dim_Category[CategoryID],MATCH($E23,Dim_Category[CategoryName],0)),"")</f>
        <v/>
      </c>
      <c r="G23" s="38" t="inlineStr">
        <is>
          <t>Checking</t>
        </is>
      </c>
      <c r="H23" s="38">
        <f>IFERROR(INDEX(Dim_Account[AccountID],MATCH($G23,Dim_Account[AccountName],0)),"")</f>
        <v/>
      </c>
      <c r="I23" s="40" t="n">
        <v>5100</v>
      </c>
      <c r="J23" s="40" t="n">
        <v>1224</v>
      </c>
      <c r="K23" s="40">
        <f>$I23-$J23</f>
        <v/>
      </c>
      <c r="L23" s="38" t="inlineStr">
        <is>
          <t>Yes</t>
        </is>
      </c>
      <c r="M23" s="38" t="inlineStr">
        <is>
          <t>Semi-monthly payroll</t>
        </is>
      </c>
      <c r="N23" s="38" t="n"/>
    </row>
    <row r="24">
      <c r="A24" s="38">
        <f>ROW()-11</f>
        <v/>
      </c>
      <c r="B24" s="39" t="n">
        <v>46023</v>
      </c>
      <c r="C24" s="38" t="inlineStr">
        <is>
          <t>Employer Payroll Inc</t>
        </is>
      </c>
      <c r="D24" s="38">
        <f>IFERROR(INDEX(Dim_Source[SourceID],MATCH($C24,Dim_Source[SourceName],0)),"")</f>
        <v/>
      </c>
      <c r="E24" s="38" t="inlineStr">
        <is>
          <t>Payroll</t>
        </is>
      </c>
      <c r="F24" s="38">
        <f>IFERROR(INDEX(Dim_Category[CategoryID],MATCH($E24,Dim_Category[CategoryName],0)),"")</f>
        <v/>
      </c>
      <c r="G24" s="38" t="inlineStr">
        <is>
          <t>Checking</t>
        </is>
      </c>
      <c r="H24" s="38">
        <f>IFERROR(INDEX(Dim_Account[AccountID],MATCH($G24,Dim_Account[AccountName],0)),"")</f>
        <v/>
      </c>
      <c r="I24" s="40" t="n">
        <v>5100</v>
      </c>
      <c r="J24" s="40" t="n">
        <v>1224</v>
      </c>
      <c r="K24" s="40">
        <f>$I24-$J24</f>
        <v/>
      </c>
      <c r="L24" s="38" t="inlineStr">
        <is>
          <t>Yes</t>
        </is>
      </c>
      <c r="M24" s="38" t="inlineStr">
        <is>
          <t>Semi-monthly payroll</t>
        </is>
      </c>
      <c r="N24" s="38" t="n"/>
    </row>
    <row r="25">
      <c r="A25" s="38">
        <f>ROW()-11</f>
        <v/>
      </c>
      <c r="B25" s="39" t="n">
        <v>46037</v>
      </c>
      <c r="C25" s="38" t="inlineStr">
        <is>
          <t>Employer Payroll Inc</t>
        </is>
      </c>
      <c r="D25" s="38">
        <f>IFERROR(INDEX(Dim_Source[SourceID],MATCH($C25,Dim_Source[SourceName],0)),"")</f>
        <v/>
      </c>
      <c r="E25" s="38" t="inlineStr">
        <is>
          <t>Payroll</t>
        </is>
      </c>
      <c r="F25" s="38">
        <f>IFERROR(INDEX(Dim_Category[CategoryID],MATCH($E25,Dim_Category[CategoryName],0)),"")</f>
        <v/>
      </c>
      <c r="G25" s="38" t="inlineStr">
        <is>
          <t>Checking</t>
        </is>
      </c>
      <c r="H25" s="38">
        <f>IFERROR(INDEX(Dim_Account[AccountID],MATCH($G25,Dim_Account[AccountName],0)),"")</f>
        <v/>
      </c>
      <c r="I25" s="40" t="n">
        <v>5100</v>
      </c>
      <c r="J25" s="40" t="n">
        <v>1224</v>
      </c>
      <c r="K25" s="40">
        <f>$I25-$J25</f>
        <v/>
      </c>
      <c r="L25" s="38" t="inlineStr">
        <is>
          <t>Yes</t>
        </is>
      </c>
      <c r="M25" s="38" t="inlineStr">
        <is>
          <t>Semi-monthly payroll</t>
        </is>
      </c>
      <c r="N25" s="38" t="n"/>
    </row>
    <row r="26">
      <c r="A26" s="38">
        <f>ROW()-11</f>
        <v/>
      </c>
      <c r="B26" s="39" t="n">
        <v>46054</v>
      </c>
      <c r="C26" s="38" t="inlineStr">
        <is>
          <t>Employer Payroll Inc</t>
        </is>
      </c>
      <c r="D26" s="38">
        <f>IFERROR(INDEX(Dim_Source[SourceID],MATCH($C26,Dim_Source[SourceName],0)),"")</f>
        <v/>
      </c>
      <c r="E26" s="38" t="inlineStr">
        <is>
          <t>Payroll</t>
        </is>
      </c>
      <c r="F26" s="38">
        <f>IFERROR(INDEX(Dim_Category[CategoryID],MATCH($E26,Dim_Category[CategoryName],0)),"")</f>
        <v/>
      </c>
      <c r="G26" s="38" t="inlineStr">
        <is>
          <t>Checking</t>
        </is>
      </c>
      <c r="H26" s="38">
        <f>IFERROR(INDEX(Dim_Account[AccountID],MATCH($G26,Dim_Account[AccountName],0)),"")</f>
        <v/>
      </c>
      <c r="I26" s="40" t="n">
        <v>5100</v>
      </c>
      <c r="J26" s="40" t="n">
        <v>1224</v>
      </c>
      <c r="K26" s="40">
        <f>$I26-$J26</f>
        <v/>
      </c>
      <c r="L26" s="38" t="inlineStr">
        <is>
          <t>Yes</t>
        </is>
      </c>
      <c r="M26" s="38" t="inlineStr">
        <is>
          <t>Semi-monthly payroll</t>
        </is>
      </c>
      <c r="N26" s="38" t="n"/>
    </row>
    <row r="27">
      <c r="A27" s="38">
        <f>ROW()-11</f>
        <v/>
      </c>
      <c r="B27" s="39" t="n">
        <v>46068</v>
      </c>
      <c r="C27" s="38" t="inlineStr">
        <is>
          <t>Employer Payroll Inc</t>
        </is>
      </c>
      <c r="D27" s="38">
        <f>IFERROR(INDEX(Dim_Source[SourceID],MATCH($C27,Dim_Source[SourceName],0)),"")</f>
        <v/>
      </c>
      <c r="E27" s="38" t="inlineStr">
        <is>
          <t>Payroll</t>
        </is>
      </c>
      <c r="F27" s="38">
        <f>IFERROR(INDEX(Dim_Category[CategoryID],MATCH($E27,Dim_Category[CategoryName],0)),"")</f>
        <v/>
      </c>
      <c r="G27" s="38" t="inlineStr">
        <is>
          <t>Checking</t>
        </is>
      </c>
      <c r="H27" s="38">
        <f>IFERROR(INDEX(Dim_Account[AccountID],MATCH($G27,Dim_Account[AccountName],0)),"")</f>
        <v/>
      </c>
      <c r="I27" s="40" t="n">
        <v>5100</v>
      </c>
      <c r="J27" s="40" t="n">
        <v>1224</v>
      </c>
      <c r="K27" s="40">
        <f>$I27-$J27</f>
        <v/>
      </c>
      <c r="L27" s="38" t="inlineStr">
        <is>
          <t>Yes</t>
        </is>
      </c>
      <c r="M27" s="38" t="inlineStr">
        <is>
          <t>Semi-monthly payroll</t>
        </is>
      </c>
      <c r="N27" s="38" t="n"/>
    </row>
    <row r="28">
      <c r="A28" s="38">
        <f>ROW()-11</f>
        <v/>
      </c>
      <c r="B28" s="39" t="n">
        <v>46082</v>
      </c>
      <c r="C28" s="38" t="inlineStr">
        <is>
          <t>Employer Payroll Inc</t>
        </is>
      </c>
      <c r="D28" s="38">
        <f>IFERROR(INDEX(Dim_Source[SourceID],MATCH($C28,Dim_Source[SourceName],0)),"")</f>
        <v/>
      </c>
      <c r="E28" s="38" t="inlineStr">
        <is>
          <t>Payroll</t>
        </is>
      </c>
      <c r="F28" s="38">
        <f>IFERROR(INDEX(Dim_Category[CategoryID],MATCH($E28,Dim_Category[CategoryName],0)),"")</f>
        <v/>
      </c>
      <c r="G28" s="38" t="inlineStr">
        <is>
          <t>Checking</t>
        </is>
      </c>
      <c r="H28" s="38">
        <f>IFERROR(INDEX(Dim_Account[AccountID],MATCH($G28,Dim_Account[AccountName],0)),"")</f>
        <v/>
      </c>
      <c r="I28" s="40" t="n">
        <v>5100</v>
      </c>
      <c r="J28" s="40" t="n">
        <v>1224</v>
      </c>
      <c r="K28" s="40">
        <f>$I28-$J28</f>
        <v/>
      </c>
      <c r="L28" s="38" t="inlineStr">
        <is>
          <t>Yes</t>
        </is>
      </c>
      <c r="M28" s="38" t="inlineStr">
        <is>
          <t>Semi-monthly payroll</t>
        </is>
      </c>
      <c r="N28" s="38" t="n"/>
    </row>
    <row r="29">
      <c r="A29" s="38">
        <f>ROW()-11</f>
        <v/>
      </c>
      <c r="B29" s="39" t="n">
        <v>46096</v>
      </c>
      <c r="C29" s="38" t="inlineStr">
        <is>
          <t>Employer Payroll Inc</t>
        </is>
      </c>
      <c r="D29" s="38">
        <f>IFERROR(INDEX(Dim_Source[SourceID],MATCH($C29,Dim_Source[SourceName],0)),"")</f>
        <v/>
      </c>
      <c r="E29" s="38" t="inlineStr">
        <is>
          <t>Payroll</t>
        </is>
      </c>
      <c r="F29" s="38">
        <f>IFERROR(INDEX(Dim_Category[CategoryID],MATCH($E29,Dim_Category[CategoryName],0)),"")</f>
        <v/>
      </c>
      <c r="G29" s="38" t="inlineStr">
        <is>
          <t>Checking</t>
        </is>
      </c>
      <c r="H29" s="38">
        <f>IFERROR(INDEX(Dim_Account[AccountID],MATCH($G29,Dim_Account[AccountName],0)),"")</f>
        <v/>
      </c>
      <c r="I29" s="40" t="n">
        <v>5100</v>
      </c>
      <c r="J29" s="40" t="n">
        <v>1224</v>
      </c>
      <c r="K29" s="40">
        <f>$I29-$J29</f>
        <v/>
      </c>
      <c r="L29" s="38" t="inlineStr">
        <is>
          <t>Yes</t>
        </is>
      </c>
      <c r="M29" s="38" t="inlineStr">
        <is>
          <t>Semi-monthly payroll</t>
        </is>
      </c>
      <c r="N29" s="38" t="n"/>
    </row>
    <row r="30">
      <c r="A30" s="38">
        <f>ROW()-11</f>
        <v/>
      </c>
      <c r="B30" s="39" t="n">
        <v>46113</v>
      </c>
      <c r="C30" s="38" t="inlineStr">
        <is>
          <t>Employer Payroll Inc</t>
        </is>
      </c>
      <c r="D30" s="38">
        <f>IFERROR(INDEX(Dim_Source[SourceID],MATCH($C30,Dim_Source[SourceName],0)),"")</f>
        <v/>
      </c>
      <c r="E30" s="38" t="inlineStr">
        <is>
          <t>Payroll</t>
        </is>
      </c>
      <c r="F30" s="38">
        <f>IFERROR(INDEX(Dim_Category[CategoryID],MATCH($E30,Dim_Category[CategoryName],0)),"")</f>
        <v/>
      </c>
      <c r="G30" s="38" t="inlineStr">
        <is>
          <t>Checking</t>
        </is>
      </c>
      <c r="H30" s="38">
        <f>IFERROR(INDEX(Dim_Account[AccountID],MATCH($G30,Dim_Account[AccountName],0)),"")</f>
        <v/>
      </c>
      <c r="I30" s="40" t="n">
        <v>5100</v>
      </c>
      <c r="J30" s="40" t="n">
        <v>1224</v>
      </c>
      <c r="K30" s="40">
        <f>$I30-$J30</f>
        <v/>
      </c>
      <c r="L30" s="38" t="inlineStr">
        <is>
          <t>Yes</t>
        </is>
      </c>
      <c r="M30" s="38" t="inlineStr">
        <is>
          <t>Semi-monthly payroll</t>
        </is>
      </c>
      <c r="N30" s="38" t="n"/>
    </row>
    <row r="31">
      <c r="A31" s="38">
        <f>ROW()-11</f>
        <v/>
      </c>
      <c r="B31" s="39" t="n">
        <v>46127</v>
      </c>
      <c r="C31" s="38" t="inlineStr">
        <is>
          <t>Employer Payroll Inc</t>
        </is>
      </c>
      <c r="D31" s="38">
        <f>IFERROR(INDEX(Dim_Source[SourceID],MATCH($C31,Dim_Source[SourceName],0)),"")</f>
        <v/>
      </c>
      <c r="E31" s="38" t="inlineStr">
        <is>
          <t>Payroll</t>
        </is>
      </c>
      <c r="F31" s="38">
        <f>IFERROR(INDEX(Dim_Category[CategoryID],MATCH($E31,Dim_Category[CategoryName],0)),"")</f>
        <v/>
      </c>
      <c r="G31" s="38" t="inlineStr">
        <is>
          <t>Checking</t>
        </is>
      </c>
      <c r="H31" s="38">
        <f>IFERROR(INDEX(Dim_Account[AccountID],MATCH($G31,Dim_Account[AccountName],0)),"")</f>
        <v/>
      </c>
      <c r="I31" s="40" t="n">
        <v>5100</v>
      </c>
      <c r="J31" s="40" t="n">
        <v>1224</v>
      </c>
      <c r="K31" s="40">
        <f>$I31-$J31</f>
        <v/>
      </c>
      <c r="L31" s="38" t="inlineStr">
        <is>
          <t>Yes</t>
        </is>
      </c>
      <c r="M31" s="38" t="inlineStr">
        <is>
          <t>Semi-monthly payroll</t>
        </is>
      </c>
      <c r="N31" s="38" t="n"/>
    </row>
    <row r="32">
      <c r="A32" s="38">
        <f>ROW()-11</f>
        <v/>
      </c>
      <c r="B32" s="39" t="n">
        <v>46143</v>
      </c>
      <c r="C32" s="38" t="inlineStr">
        <is>
          <t>Employer Payroll Inc</t>
        </is>
      </c>
      <c r="D32" s="38">
        <f>IFERROR(INDEX(Dim_Source[SourceID],MATCH($C32,Dim_Source[SourceName],0)),"")</f>
        <v/>
      </c>
      <c r="E32" s="38" t="inlineStr">
        <is>
          <t>Payroll</t>
        </is>
      </c>
      <c r="F32" s="38">
        <f>IFERROR(INDEX(Dim_Category[CategoryID],MATCH($E32,Dim_Category[CategoryName],0)),"")</f>
        <v/>
      </c>
      <c r="G32" s="38" t="inlineStr">
        <is>
          <t>Checking</t>
        </is>
      </c>
      <c r="H32" s="38">
        <f>IFERROR(INDEX(Dim_Account[AccountID],MATCH($G32,Dim_Account[AccountName],0)),"")</f>
        <v/>
      </c>
      <c r="I32" s="40" t="n">
        <v>5100</v>
      </c>
      <c r="J32" s="40" t="n">
        <v>1224</v>
      </c>
      <c r="K32" s="40">
        <f>$I32-$J32</f>
        <v/>
      </c>
      <c r="L32" s="38" t="inlineStr">
        <is>
          <t>Yes</t>
        </is>
      </c>
      <c r="M32" s="38" t="inlineStr">
        <is>
          <t>Semi-monthly payroll</t>
        </is>
      </c>
      <c r="N32" s="38" t="n"/>
    </row>
    <row r="33">
      <c r="A33" s="38">
        <f>ROW()-11</f>
        <v/>
      </c>
      <c r="B33" s="39" t="n">
        <v>46157</v>
      </c>
      <c r="C33" s="38" t="inlineStr">
        <is>
          <t>Employer Payroll Inc</t>
        </is>
      </c>
      <c r="D33" s="38">
        <f>IFERROR(INDEX(Dim_Source[SourceID],MATCH($C33,Dim_Source[SourceName],0)),"")</f>
        <v/>
      </c>
      <c r="E33" s="38" t="inlineStr">
        <is>
          <t>Payroll</t>
        </is>
      </c>
      <c r="F33" s="38">
        <f>IFERROR(INDEX(Dim_Category[CategoryID],MATCH($E33,Dim_Category[CategoryName],0)),"")</f>
        <v/>
      </c>
      <c r="G33" s="38" t="inlineStr">
        <is>
          <t>Checking</t>
        </is>
      </c>
      <c r="H33" s="38">
        <f>IFERROR(INDEX(Dim_Account[AccountID],MATCH($G33,Dim_Account[AccountName],0)),"")</f>
        <v/>
      </c>
      <c r="I33" s="40" t="n">
        <v>5100</v>
      </c>
      <c r="J33" s="40" t="n">
        <v>1224</v>
      </c>
      <c r="K33" s="40">
        <f>$I33-$J33</f>
        <v/>
      </c>
      <c r="L33" s="38" t="inlineStr">
        <is>
          <t>Yes</t>
        </is>
      </c>
      <c r="M33" s="38" t="inlineStr">
        <is>
          <t>Semi-monthly payroll</t>
        </is>
      </c>
      <c r="N33" s="38" t="n"/>
    </row>
    <row r="34">
      <c r="A34" s="38">
        <f>ROW()-11</f>
        <v/>
      </c>
      <c r="B34" s="39" t="n">
        <v>46174</v>
      </c>
      <c r="C34" s="38" t="inlineStr">
        <is>
          <t>Employer Payroll Inc</t>
        </is>
      </c>
      <c r="D34" s="38">
        <f>IFERROR(INDEX(Dim_Source[SourceID],MATCH($C34,Dim_Source[SourceName],0)),"")</f>
        <v/>
      </c>
      <c r="E34" s="38" t="inlineStr">
        <is>
          <t>Payroll</t>
        </is>
      </c>
      <c r="F34" s="38">
        <f>IFERROR(INDEX(Dim_Category[CategoryID],MATCH($E34,Dim_Category[CategoryName],0)),"")</f>
        <v/>
      </c>
      <c r="G34" s="38" t="inlineStr">
        <is>
          <t>Checking</t>
        </is>
      </c>
      <c r="H34" s="38">
        <f>IFERROR(INDEX(Dim_Account[AccountID],MATCH($G34,Dim_Account[AccountName],0)),"")</f>
        <v/>
      </c>
      <c r="I34" s="40" t="n">
        <v>5100</v>
      </c>
      <c r="J34" s="40" t="n">
        <v>1224</v>
      </c>
      <c r="K34" s="40">
        <f>$I34-$J34</f>
        <v/>
      </c>
      <c r="L34" s="38" t="inlineStr">
        <is>
          <t>Yes</t>
        </is>
      </c>
      <c r="M34" s="38" t="inlineStr">
        <is>
          <t>Semi-monthly payroll</t>
        </is>
      </c>
      <c r="N34" s="38" t="n"/>
    </row>
    <row r="35">
      <c r="A35" s="38">
        <f>ROW()-11</f>
        <v/>
      </c>
      <c r="B35" s="39" t="n">
        <v>46188</v>
      </c>
      <c r="C35" s="38" t="inlineStr">
        <is>
          <t>Employer Payroll Inc</t>
        </is>
      </c>
      <c r="D35" s="38">
        <f>IFERROR(INDEX(Dim_Source[SourceID],MATCH($C35,Dim_Source[SourceName],0)),"")</f>
        <v/>
      </c>
      <c r="E35" s="38" t="inlineStr">
        <is>
          <t>Payroll</t>
        </is>
      </c>
      <c r="F35" s="38">
        <f>IFERROR(INDEX(Dim_Category[CategoryID],MATCH($E35,Dim_Category[CategoryName],0)),"")</f>
        <v/>
      </c>
      <c r="G35" s="38" t="inlineStr">
        <is>
          <t>Checking</t>
        </is>
      </c>
      <c r="H35" s="38">
        <f>IFERROR(INDEX(Dim_Account[AccountID],MATCH($G35,Dim_Account[AccountName],0)),"")</f>
        <v/>
      </c>
      <c r="I35" s="40" t="n">
        <v>5100</v>
      </c>
      <c r="J35" s="40" t="n">
        <v>1224</v>
      </c>
      <c r="K35" s="40">
        <f>$I35-$J35</f>
        <v/>
      </c>
      <c r="L35" s="38" t="inlineStr">
        <is>
          <t>Yes</t>
        </is>
      </c>
      <c r="M35" s="38" t="inlineStr">
        <is>
          <t>Semi-monthly payroll</t>
        </is>
      </c>
      <c r="N35" s="38" t="n"/>
    </row>
    <row r="36">
      <c r="A36" s="38">
        <f>ROW()-11</f>
        <v/>
      </c>
      <c r="B36" s="39" t="n">
        <v>46204</v>
      </c>
      <c r="C36" s="38" t="inlineStr">
        <is>
          <t>Employer Payroll Inc</t>
        </is>
      </c>
      <c r="D36" s="38">
        <f>IFERROR(INDEX(Dim_Source[SourceID],MATCH($C36,Dim_Source[SourceName],0)),"")</f>
        <v/>
      </c>
      <c r="E36" s="38" t="inlineStr">
        <is>
          <t>Payroll</t>
        </is>
      </c>
      <c r="F36" s="38">
        <f>IFERROR(INDEX(Dim_Category[CategoryID],MATCH($E36,Dim_Category[CategoryName],0)),"")</f>
        <v/>
      </c>
      <c r="G36" s="38" t="inlineStr">
        <is>
          <t>Checking</t>
        </is>
      </c>
      <c r="H36" s="38">
        <f>IFERROR(INDEX(Dim_Account[AccountID],MATCH($G36,Dim_Account[AccountName],0)),"")</f>
        <v/>
      </c>
      <c r="I36" s="40" t="n">
        <v>5100</v>
      </c>
      <c r="J36" s="40" t="n">
        <v>1224</v>
      </c>
      <c r="K36" s="40">
        <f>$I36-$J36</f>
        <v/>
      </c>
      <c r="L36" s="38" t="inlineStr">
        <is>
          <t>Yes</t>
        </is>
      </c>
      <c r="M36" s="38" t="inlineStr">
        <is>
          <t>Semi-monthly payroll</t>
        </is>
      </c>
      <c r="N36" s="38" t="n"/>
    </row>
    <row r="37">
      <c r="A37" s="38">
        <f>ROW()-11</f>
        <v/>
      </c>
      <c r="B37" s="39" t="n">
        <v>46218</v>
      </c>
      <c r="C37" s="38" t="inlineStr">
        <is>
          <t>Employer Payroll Inc</t>
        </is>
      </c>
      <c r="D37" s="38">
        <f>IFERROR(INDEX(Dim_Source[SourceID],MATCH($C37,Dim_Source[SourceName],0)),"")</f>
        <v/>
      </c>
      <c r="E37" s="38" t="inlineStr">
        <is>
          <t>Payroll</t>
        </is>
      </c>
      <c r="F37" s="38">
        <f>IFERROR(INDEX(Dim_Category[CategoryID],MATCH($E37,Dim_Category[CategoryName],0)),"")</f>
        <v/>
      </c>
      <c r="G37" s="38" t="inlineStr">
        <is>
          <t>Checking</t>
        </is>
      </c>
      <c r="H37" s="38">
        <f>IFERROR(INDEX(Dim_Account[AccountID],MATCH($G37,Dim_Account[AccountName],0)),"")</f>
        <v/>
      </c>
      <c r="I37" s="40" t="n">
        <v>5100</v>
      </c>
      <c r="J37" s="40" t="n">
        <v>1224</v>
      </c>
      <c r="K37" s="40">
        <f>$I37-$J37</f>
        <v/>
      </c>
      <c r="L37" s="38" t="inlineStr">
        <is>
          <t>Yes</t>
        </is>
      </c>
      <c r="M37" s="38" t="inlineStr">
        <is>
          <t>Semi-monthly payroll</t>
        </is>
      </c>
      <c r="N37" s="38" t="n"/>
    </row>
  </sheetData>
  <mergeCells count="3">
    <mergeCell ref="A4:B4"/>
    <mergeCell ref="A1:N2"/>
    <mergeCell ref="A10:N10"/>
  </mergeCells>
  <dataValidations count="4">
    <dataValidation sqref="C12:C337" showDropDown="0" showInputMessage="0" showErrorMessage="1" allowBlank="1" errorTitle="Invalid Entry" error="Please choose a value from the dropdown list." type="list">
      <formula1>SourceNameList</formula1>
    </dataValidation>
    <dataValidation sqref="E12:E337" showDropDown="0" showInputMessage="0" showErrorMessage="1" allowBlank="1" errorTitle="Invalid Entry" error="Please choose a value from the dropdown list." type="list">
      <formula1>ExpenseCategoryList</formula1>
    </dataValidation>
    <dataValidation sqref="G12:G337" showDropDown="0" showInputMessage="0" showErrorMessage="1" allowBlank="1" errorTitle="Invalid Entry" error="Please choose a value from the dropdown list." type="list">
      <formula1>AccountNameList</formula1>
    </dataValidation>
    <dataValidation sqref="L12:L337" showDropDown="0" showInputMessage="0" showErrorMessage="1" allowBlank="1" errorTitle="Invalid Entry" error="Please choose a value from the dropdown list." type="list">
      <formula1>List_YesNo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B91C1C"/>
    <outlinePr summaryBelow="1" summaryRight="1"/>
    <pageSetUpPr/>
  </sheetPr>
  <dimension ref="A1:P19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hidden="1" width="10" customWidth="1" min="4" max="4"/>
    <col width="20" customWidth="1" min="5" max="5"/>
    <col hidden="1" width="10" customWidth="1" min="6" max="6"/>
    <col width="16" customWidth="1" min="7" max="7"/>
    <col hidden="1" width="10" customWidth="1" min="8" max="8"/>
    <col width="14" customWidth="1" min="9" max="9"/>
    <col hidden="1" width="14" customWidth="1" min="10" max="10"/>
    <col width="12" customWidth="1" min="11" max="11"/>
    <col width="11" customWidth="1" min="12" max="12"/>
    <col width="11" customWidth="1" min="13" max="13"/>
    <col width="22" customWidth="1" min="14" max="14"/>
    <col width="30" customWidth="1" min="15" max="15"/>
    <col hidden="1" width="13" customWidth="1" min="16" max="16"/>
  </cols>
  <sheetData>
    <row r="1" ht="30" customHeight="1">
      <c r="A1" s="29" t="inlineStr">
        <is>
          <t>Expenses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0" customHeight="1">
      <c r="A4" s="26" t="inlineStr">
        <is>
          <t>Fact_Expenses  —  every purchase goes here. Pick Vendor/Category/Account/Payment Method from dropdowns.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36" t="inlineStr">
        <is>
          <t>ExpenseID</t>
        </is>
      </c>
      <c r="B5" s="36" t="inlineStr">
        <is>
          <t>Date</t>
        </is>
      </c>
      <c r="C5" s="36" t="inlineStr">
        <is>
          <t>VendorName</t>
        </is>
      </c>
      <c r="D5" s="36" t="inlineStr">
        <is>
          <t>VendorID</t>
        </is>
      </c>
      <c r="E5" s="36" t="inlineStr">
        <is>
          <t>CategoryName</t>
        </is>
      </c>
      <c r="F5" s="36" t="inlineStr">
        <is>
          <t>CategoryID</t>
        </is>
      </c>
      <c r="G5" s="36" t="inlineStr">
        <is>
          <t>AccountName</t>
        </is>
      </c>
      <c r="H5" s="36" t="inlineStr">
        <is>
          <t>AccountID</t>
        </is>
      </c>
      <c r="I5" s="36" t="inlineStr">
        <is>
          <t>PaymentMethod</t>
        </is>
      </c>
      <c r="J5" s="36" t="inlineStr">
        <is>
          <t>PaymentMethodID</t>
        </is>
      </c>
      <c r="K5" s="36" t="inlineStr">
        <is>
          <t>Amount</t>
        </is>
      </c>
      <c r="L5" s="36" t="inlineStr">
        <is>
          <t>NeedWantFlag</t>
        </is>
      </c>
      <c r="M5" s="36" t="inlineStr">
        <is>
          <t>RecurringFlag</t>
        </is>
      </c>
      <c r="N5" s="36" t="inlineStr">
        <is>
          <t>Notes</t>
        </is>
      </c>
      <c r="O5" s="36" t="inlineStr">
        <is>
          <t>Description</t>
        </is>
      </c>
      <c r="P5" s="36" t="inlineStr">
        <is>
          <t>CurMonthAmt</t>
        </is>
      </c>
    </row>
    <row r="6">
      <c r="A6" s="38">
        <f>ROW()-5</f>
        <v/>
      </c>
      <c r="B6" s="39" t="n">
        <v>45872</v>
      </c>
      <c r="C6" s="38" t="inlineStr">
        <is>
          <t>Mortgage Lender</t>
        </is>
      </c>
      <c r="D6" s="38">
        <f>IFERROR(INDEX(Dim_Vendor[VendorID],MATCH($C6,Dim_Vendor[VendorName],0)),"")</f>
        <v/>
      </c>
      <c r="E6" s="38" t="inlineStr">
        <is>
          <t>Mortgage</t>
        </is>
      </c>
      <c r="F6" s="38">
        <f>IFERROR(INDEX(Dim_Category[CategoryID],MATCH($E6,Dim_Category[CategoryName],0)),"")</f>
        <v/>
      </c>
      <c r="G6" s="38" t="inlineStr">
        <is>
          <t>Checking</t>
        </is>
      </c>
      <c r="H6" s="38">
        <f>IFERROR(INDEX(Dim_Account[AccountID],MATCH($G6,Dim_Account[AccountName],0)),"")</f>
        <v/>
      </c>
      <c r="I6" s="38" t="inlineStr">
        <is>
          <t>ACH</t>
        </is>
      </c>
      <c r="J6" s="38">
        <f>IFERROR(INDEX(Dim_PaymentMethod[PaymentMethodID],MATCH($I6,Dim_PaymentMethod[MethodName],0)),"")</f>
        <v/>
      </c>
      <c r="K6" s="40" t="n">
        <v>2197.96</v>
      </c>
      <c r="L6" s="38" t="inlineStr">
        <is>
          <t>Need</t>
        </is>
      </c>
      <c r="M6" s="38" t="inlineStr">
        <is>
          <t>Yes</t>
        </is>
      </c>
      <c r="N6" s="38" t="inlineStr">
        <is>
          <t>Monthly mortgage payment</t>
        </is>
      </c>
      <c r="O6" s="38" t="n"/>
      <c r="P6" s="40">
        <f>IF(AND($B6&gt;=CurMonthStart,$B6&lt;=CurMonthEnd),$K6,0)</f>
        <v/>
      </c>
    </row>
    <row r="7">
      <c r="A7" s="38">
        <f>ROW()-5</f>
        <v/>
      </c>
      <c r="B7" s="39" t="n">
        <v>45875</v>
      </c>
      <c r="C7" s="38" t="inlineStr">
        <is>
          <t>Whole Foods</t>
        </is>
      </c>
      <c r="D7" s="38">
        <f>IFERROR(INDEX(Dim_Vendor[VendorID],MATCH($C7,Dim_Vendor[VendorName],0)),"")</f>
        <v/>
      </c>
      <c r="E7" s="38" t="inlineStr">
        <is>
          <t>Groceries</t>
        </is>
      </c>
      <c r="F7" s="38">
        <f>IFERROR(INDEX(Dim_Category[CategoryID],MATCH($E7,Dim_Category[CategoryName],0)),"")</f>
        <v/>
      </c>
      <c r="G7" s="38" t="inlineStr">
        <is>
          <t>Credit Card</t>
        </is>
      </c>
      <c r="H7" s="38">
        <f>IFERROR(INDEX(Dim_Account[AccountID],MATCH($G7,Dim_Account[AccountName],0)),"")</f>
        <v/>
      </c>
      <c r="I7" s="38" t="inlineStr">
        <is>
          <t>Credit Card</t>
        </is>
      </c>
      <c r="J7" s="38">
        <f>IFERROR(INDEX(Dim_PaymentMethod[PaymentMethodID],MATCH($I7,Dim_PaymentMethod[MethodName],0)),"")</f>
        <v/>
      </c>
      <c r="K7" s="40" t="n">
        <v>172.25</v>
      </c>
      <c r="L7" s="38" t="inlineStr">
        <is>
          <t>Need</t>
        </is>
      </c>
      <c r="M7" s="38" t="inlineStr">
        <is>
          <t>No</t>
        </is>
      </c>
      <c r="N7" s="38" t="inlineStr"/>
      <c r="O7" s="38" t="n"/>
      <c r="P7" s="40">
        <f>IF(AND($B7&gt;=CurMonthStart,$B7&lt;=CurMonthEnd),$K7,0)</f>
        <v/>
      </c>
    </row>
    <row r="8">
      <c r="A8" s="38">
        <f>ROW()-5</f>
        <v/>
      </c>
      <c r="B8" s="39" t="n">
        <v>45878</v>
      </c>
      <c r="C8" s="38" t="inlineStr">
        <is>
          <t>Costco</t>
        </is>
      </c>
      <c r="D8" s="38">
        <f>IFERROR(INDEX(Dim_Vendor[VendorID],MATCH($C8,Dim_Vendor[VendorName],0)),"")</f>
        <v/>
      </c>
      <c r="E8" s="38" t="inlineStr">
        <is>
          <t>Groceries</t>
        </is>
      </c>
      <c r="F8" s="38">
        <f>IFERROR(INDEX(Dim_Category[CategoryID],MATCH($E8,Dim_Category[CategoryName],0)),"")</f>
        <v/>
      </c>
      <c r="G8" s="38" t="inlineStr">
        <is>
          <t>Credit Card</t>
        </is>
      </c>
      <c r="H8" s="38">
        <f>IFERROR(INDEX(Dim_Account[AccountID],MATCH($G8,Dim_Account[AccountName],0)),"")</f>
        <v/>
      </c>
      <c r="I8" s="38" t="inlineStr">
        <is>
          <t>Credit Card</t>
        </is>
      </c>
      <c r="J8" s="38">
        <f>IFERROR(INDEX(Dim_PaymentMethod[PaymentMethodID],MATCH($I8,Dim_PaymentMethod[MethodName],0)),"")</f>
        <v/>
      </c>
      <c r="K8" s="40" t="n">
        <v>236.28</v>
      </c>
      <c r="L8" s="38" t="inlineStr">
        <is>
          <t>Need</t>
        </is>
      </c>
      <c r="M8" s="38" t="inlineStr">
        <is>
          <t>No</t>
        </is>
      </c>
      <c r="N8" s="38" t="inlineStr">
        <is>
          <t>Bulk groceries</t>
        </is>
      </c>
      <c r="O8" s="38" t="n"/>
      <c r="P8" s="40">
        <f>IF(AND($B8&gt;=CurMonthStart,$B8&lt;=CurMonthEnd),$K8,0)</f>
        <v/>
      </c>
    </row>
    <row r="9">
      <c r="A9" s="38">
        <f>ROW()-5</f>
        <v/>
      </c>
      <c r="B9" s="39" t="n">
        <v>45881</v>
      </c>
      <c r="C9" s="38" t="inlineStr">
        <is>
          <t>Shell Gas Station</t>
        </is>
      </c>
      <c r="D9" s="38">
        <f>IFERROR(INDEX(Dim_Vendor[VendorID],MATCH($C9,Dim_Vendor[VendorName],0)),"")</f>
        <v/>
      </c>
      <c r="E9" s="38" t="inlineStr">
        <is>
          <t>Car</t>
        </is>
      </c>
      <c r="F9" s="38">
        <f>IFERROR(INDEX(Dim_Category[CategoryID],MATCH($E9,Dim_Category[CategoryName],0)),"")</f>
        <v/>
      </c>
      <c r="G9" s="38" t="inlineStr">
        <is>
          <t>Credit Card</t>
        </is>
      </c>
      <c r="H9" s="38">
        <f>IFERROR(INDEX(Dim_Account[AccountID],MATCH($G9,Dim_Account[AccountName],0)),"")</f>
        <v/>
      </c>
      <c r="I9" s="38" t="inlineStr">
        <is>
          <t>Credit Card</t>
        </is>
      </c>
      <c r="J9" s="38">
        <f>IFERROR(INDEX(Dim_PaymentMethod[PaymentMethodID],MATCH($I9,Dim_PaymentMethod[MethodName],0)),"")</f>
        <v/>
      </c>
      <c r="K9" s="40" t="n">
        <v>49.98</v>
      </c>
      <c r="L9" s="38" t="inlineStr">
        <is>
          <t>Need</t>
        </is>
      </c>
      <c r="M9" s="38" t="inlineStr">
        <is>
          <t>No</t>
        </is>
      </c>
      <c r="N9" s="38" t="inlineStr">
        <is>
          <t>Gas</t>
        </is>
      </c>
      <c r="O9" s="38" t="n"/>
      <c r="P9" s="40">
        <f>IF(AND($B9&gt;=CurMonthStart,$B9&lt;=CurMonthEnd),$K9,0)</f>
        <v/>
      </c>
    </row>
    <row r="10">
      <c r="A10" s="38">
        <f>ROW()-5</f>
        <v/>
      </c>
      <c r="B10" s="39" t="n">
        <v>45884</v>
      </c>
      <c r="C10" s="38" t="inlineStr">
        <is>
          <t>AutoZone</t>
        </is>
      </c>
      <c r="D10" s="38">
        <f>IFERROR(INDEX(Dim_Vendor[VendorID],MATCH($C10,Dim_Vendor[VendorName],0)),"")</f>
        <v/>
      </c>
      <c r="E10" s="38" t="inlineStr">
        <is>
          <t>Car</t>
        </is>
      </c>
      <c r="F10" s="38">
        <f>IFERROR(INDEX(Dim_Category[CategoryID],MATCH($E10,Dim_Category[CategoryName],0)),"")</f>
        <v/>
      </c>
      <c r="G10" s="38" t="inlineStr">
        <is>
          <t>Credit Card</t>
        </is>
      </c>
      <c r="H10" s="38">
        <f>IFERROR(INDEX(Dim_Account[AccountID],MATCH($G10,Dim_Account[AccountName],0)),"")</f>
        <v/>
      </c>
      <c r="I10" s="38" t="inlineStr">
        <is>
          <t>Credit Card</t>
        </is>
      </c>
      <c r="J10" s="38">
        <f>IFERROR(INDEX(Dim_PaymentMethod[PaymentMethodID],MATCH($I10,Dim_PaymentMethod[MethodName],0)),"")</f>
        <v/>
      </c>
      <c r="K10" s="40" t="n">
        <v>40.22</v>
      </c>
      <c r="L10" s="38" t="inlineStr">
        <is>
          <t>Need</t>
        </is>
      </c>
      <c r="M10" s="38" t="inlineStr">
        <is>
          <t>No</t>
        </is>
      </c>
      <c r="N10" s="38" t="inlineStr">
        <is>
          <t>Wiper blades / oil</t>
        </is>
      </c>
      <c r="O10" s="38" t="n"/>
      <c r="P10" s="40">
        <f>IF(AND($B10&gt;=CurMonthStart,$B10&lt;=CurMonthEnd),$K10,0)</f>
        <v/>
      </c>
    </row>
    <row r="11">
      <c r="A11" s="38">
        <f>ROW()-5</f>
        <v/>
      </c>
      <c r="B11" s="39" t="n">
        <v>45887</v>
      </c>
      <c r="C11" s="38" t="inlineStr">
        <is>
          <t>City Electric Co</t>
        </is>
      </c>
      <c r="D11" s="38">
        <f>IFERROR(INDEX(Dim_Vendor[VendorID],MATCH($C11,Dim_Vendor[VendorName],0)),"")</f>
        <v/>
      </c>
      <c r="E11" s="38" t="inlineStr">
        <is>
          <t>Utilities</t>
        </is>
      </c>
      <c r="F11" s="38">
        <f>IFERROR(INDEX(Dim_Category[CategoryID],MATCH($E11,Dim_Category[CategoryName],0)),"")</f>
        <v/>
      </c>
      <c r="G11" s="38" t="inlineStr">
        <is>
          <t>Checking</t>
        </is>
      </c>
      <c r="H11" s="38">
        <f>IFERROR(INDEX(Dim_Account[AccountID],MATCH($G11,Dim_Account[AccountName],0)),"")</f>
        <v/>
      </c>
      <c r="I11" s="38" t="inlineStr">
        <is>
          <t>ACH</t>
        </is>
      </c>
      <c r="J11" s="38">
        <f>IFERROR(INDEX(Dim_PaymentMethod[PaymentMethodID],MATCH($I11,Dim_PaymentMethod[MethodName],0)),"")</f>
        <v/>
      </c>
      <c r="K11" s="40" t="n">
        <v>132.24</v>
      </c>
      <c r="L11" s="38" t="inlineStr">
        <is>
          <t>Need</t>
        </is>
      </c>
      <c r="M11" s="38" t="inlineStr">
        <is>
          <t>Yes</t>
        </is>
      </c>
      <c r="N11" s="38" t="inlineStr"/>
      <c r="O11" s="38" t="n"/>
      <c r="P11" s="40">
        <f>IF(AND($B11&gt;=CurMonthStart,$B11&lt;=CurMonthEnd),$K11,0)</f>
        <v/>
      </c>
    </row>
    <row r="12">
      <c r="A12" s="38">
        <f>ROW()-5</f>
        <v/>
      </c>
      <c r="B12" s="39" t="n">
        <v>45890</v>
      </c>
      <c r="C12" s="38" t="inlineStr">
        <is>
          <t>Comcast Xfinity</t>
        </is>
      </c>
      <c r="D12" s="38">
        <f>IFERROR(INDEX(Dim_Vendor[VendorID],MATCH($C12,Dim_Vendor[VendorName],0)),"")</f>
        <v/>
      </c>
      <c r="E12" s="38" t="inlineStr">
        <is>
          <t>Utilities</t>
        </is>
      </c>
      <c r="F12" s="38">
        <f>IFERROR(INDEX(Dim_Category[CategoryID],MATCH($E12,Dim_Category[CategoryName],0)),"")</f>
        <v/>
      </c>
      <c r="G12" s="38" t="inlineStr">
        <is>
          <t>Checking</t>
        </is>
      </c>
      <c r="H12" s="38">
        <f>IFERROR(INDEX(Dim_Account[AccountID],MATCH($G12,Dim_Account[AccountName],0)),"")</f>
        <v/>
      </c>
      <c r="I12" s="38" t="inlineStr">
        <is>
          <t>ACH</t>
        </is>
      </c>
      <c r="J12" s="38">
        <f>IFERROR(INDEX(Dim_PaymentMethod[PaymentMethodID],MATCH($I12,Dim_PaymentMethod[MethodName],0)),"")</f>
        <v/>
      </c>
      <c r="K12" s="40" t="n">
        <v>85.01000000000001</v>
      </c>
      <c r="L12" s="38" t="inlineStr">
        <is>
          <t>Need</t>
        </is>
      </c>
      <c r="M12" s="38" t="inlineStr">
        <is>
          <t>Yes</t>
        </is>
      </c>
      <c r="N12" s="38" t="inlineStr">
        <is>
          <t>Internet</t>
        </is>
      </c>
      <c r="O12" s="38" t="n"/>
      <c r="P12" s="40">
        <f>IF(AND($B12&gt;=CurMonthStart,$B12&lt;=CurMonthEnd),$K12,0)</f>
        <v/>
      </c>
    </row>
    <row r="13">
      <c r="A13" s="38">
        <f>ROW()-5</f>
        <v/>
      </c>
      <c r="B13" s="39" t="n">
        <v>45893</v>
      </c>
      <c r="C13" s="38" t="inlineStr">
        <is>
          <t>Verizon Wireless</t>
        </is>
      </c>
      <c r="D13" s="38">
        <f>IFERROR(INDEX(Dim_Vendor[VendorID],MATCH($C13,Dim_Vendor[VendorName],0)),"")</f>
        <v/>
      </c>
      <c r="E13" s="38" t="inlineStr">
        <is>
          <t>Utilities</t>
        </is>
      </c>
      <c r="F13" s="38">
        <f>IFERROR(INDEX(Dim_Category[CategoryID],MATCH($E13,Dim_Category[CategoryName],0)),"")</f>
        <v/>
      </c>
      <c r="G13" s="38" t="inlineStr">
        <is>
          <t>Checking</t>
        </is>
      </c>
      <c r="H13" s="38">
        <f>IFERROR(INDEX(Dim_Account[AccountID],MATCH($G13,Dim_Account[AccountName],0)),"")</f>
        <v/>
      </c>
      <c r="I13" s="38" t="inlineStr">
        <is>
          <t>ACH</t>
        </is>
      </c>
      <c r="J13" s="38">
        <f>IFERROR(INDEX(Dim_PaymentMethod[PaymentMethodID],MATCH($I13,Dim_PaymentMethod[MethodName],0)),"")</f>
        <v/>
      </c>
      <c r="K13" s="40" t="n">
        <v>88.72</v>
      </c>
      <c r="L13" s="38" t="inlineStr">
        <is>
          <t>Need</t>
        </is>
      </c>
      <c r="M13" s="38" t="inlineStr">
        <is>
          <t>Yes</t>
        </is>
      </c>
      <c r="N13" s="38" t="inlineStr">
        <is>
          <t>Mobile phone</t>
        </is>
      </c>
      <c r="O13" s="38" t="n"/>
      <c r="P13" s="40">
        <f>IF(AND($B13&gt;=CurMonthStart,$B13&lt;=CurMonthEnd),$K13,0)</f>
        <v/>
      </c>
    </row>
    <row r="14">
      <c r="A14" s="38">
        <f>ROW()-5</f>
        <v/>
      </c>
      <c r="B14" s="39" t="n">
        <v>45896</v>
      </c>
      <c r="C14" s="38" t="inlineStr">
        <is>
          <t>State Farm Insurance</t>
        </is>
      </c>
      <c r="D14" s="38">
        <f>IFERROR(INDEX(Dim_Vendor[VendorID],MATCH($C14,Dim_Vendor[VendorName],0)),"")</f>
        <v/>
      </c>
      <c r="E14" s="38" t="inlineStr">
        <is>
          <t>Insurance</t>
        </is>
      </c>
      <c r="F14" s="38">
        <f>IFERROR(INDEX(Dim_Category[CategoryID],MATCH($E14,Dim_Category[CategoryName],0)),"")</f>
        <v/>
      </c>
      <c r="G14" s="38" t="inlineStr">
        <is>
          <t>Checking</t>
        </is>
      </c>
      <c r="H14" s="38">
        <f>IFERROR(INDEX(Dim_Account[AccountID],MATCH($G14,Dim_Account[AccountName],0)),"")</f>
        <v/>
      </c>
      <c r="I14" s="38" t="inlineStr">
        <is>
          <t>ACH</t>
        </is>
      </c>
      <c r="J14" s="38">
        <f>IFERROR(INDEX(Dim_PaymentMethod[PaymentMethodID],MATCH($I14,Dim_PaymentMethod[MethodName],0)),"")</f>
        <v/>
      </c>
      <c r="K14" s="40" t="n">
        <v>140.23</v>
      </c>
      <c r="L14" s="38" t="inlineStr">
        <is>
          <t>Need</t>
        </is>
      </c>
      <c r="M14" s="38" t="inlineStr">
        <is>
          <t>Yes</t>
        </is>
      </c>
      <c r="N14" s="38" t="inlineStr">
        <is>
          <t>Auto + home insurance</t>
        </is>
      </c>
      <c r="O14" s="38" t="n"/>
      <c r="P14" s="40">
        <f>IF(AND($B14&gt;=CurMonthStart,$B14&lt;=CurMonthEnd),$K14,0)</f>
        <v/>
      </c>
    </row>
    <row r="15">
      <c r="A15" s="38">
        <f>ROW()-5</f>
        <v/>
      </c>
      <c r="B15" s="39" t="n">
        <v>45872</v>
      </c>
      <c r="C15" s="38" t="inlineStr">
        <is>
          <t>Kaiser Permanente</t>
        </is>
      </c>
      <c r="D15" s="38">
        <f>IFERROR(INDEX(Dim_Vendor[VendorID],MATCH($C15,Dim_Vendor[VendorName],0)),"")</f>
        <v/>
      </c>
      <c r="E15" s="38" t="inlineStr">
        <is>
          <t>Healthcare</t>
        </is>
      </c>
      <c r="F15" s="38">
        <f>IFERROR(INDEX(Dim_Category[CategoryID],MATCH($E15,Dim_Category[CategoryName],0)),"")</f>
        <v/>
      </c>
      <c r="G15" s="38" t="inlineStr">
        <is>
          <t>Credit Card</t>
        </is>
      </c>
      <c r="H15" s="38">
        <f>IFERROR(INDEX(Dim_Account[AccountID],MATCH($G15,Dim_Account[AccountName],0)),"")</f>
        <v/>
      </c>
      <c r="I15" s="38" t="inlineStr">
        <is>
          <t>Credit Card</t>
        </is>
      </c>
      <c r="J15" s="38">
        <f>IFERROR(INDEX(Dim_PaymentMethod[PaymentMethodID],MATCH($I15,Dim_PaymentMethod[MethodName],0)),"")</f>
        <v/>
      </c>
      <c r="K15" s="40" t="n">
        <v>41.61</v>
      </c>
      <c r="L15" s="38" t="inlineStr">
        <is>
          <t>Need</t>
        </is>
      </c>
      <c r="M15" s="38" t="inlineStr">
        <is>
          <t>No</t>
        </is>
      </c>
      <c r="N15" s="38" t="inlineStr">
        <is>
          <t>Copay</t>
        </is>
      </c>
      <c r="O15" s="38" t="n"/>
      <c r="P15" s="40">
        <f>IF(AND($B15&gt;=CurMonthStart,$B15&lt;=CurMonthEnd),$K15,0)</f>
        <v/>
      </c>
    </row>
    <row r="16">
      <c r="A16" s="38">
        <f>ROW()-5</f>
        <v/>
      </c>
      <c r="B16" s="39" t="n">
        <v>45875</v>
      </c>
      <c r="C16" s="38" t="inlineStr">
        <is>
          <t>Chipotle</t>
        </is>
      </c>
      <c r="D16" s="38">
        <f>IFERROR(INDEX(Dim_Vendor[VendorID],MATCH($C16,Dim_Vendor[VendorName],0)),"")</f>
        <v/>
      </c>
      <c r="E16" s="38" t="inlineStr">
        <is>
          <t>Dining &amp; Entertainment</t>
        </is>
      </c>
      <c r="F16" s="38">
        <f>IFERROR(INDEX(Dim_Category[CategoryID],MATCH($E16,Dim_Category[CategoryName],0)),"")</f>
        <v/>
      </c>
      <c r="G16" s="38" t="inlineStr">
        <is>
          <t>Credit Card</t>
        </is>
      </c>
      <c r="H16" s="38">
        <f>IFERROR(INDEX(Dim_Account[AccountID],MATCH($G16,Dim_Account[AccountName],0)),"")</f>
        <v/>
      </c>
      <c r="I16" s="38" t="inlineStr">
        <is>
          <t>Credit Card</t>
        </is>
      </c>
      <c r="J16" s="38">
        <f>IFERROR(INDEX(Dim_PaymentMethod[PaymentMethodID],MATCH($I16,Dim_PaymentMethod[MethodName],0)),"")</f>
        <v/>
      </c>
      <c r="K16" s="40" t="n">
        <v>14.25</v>
      </c>
      <c r="L16" s="38" t="inlineStr">
        <is>
          <t>Want</t>
        </is>
      </c>
      <c r="M16" s="38" t="inlineStr">
        <is>
          <t>No</t>
        </is>
      </c>
      <c r="N16" s="38" t="inlineStr"/>
      <c r="O16" s="38" t="n"/>
      <c r="P16" s="40">
        <f>IF(AND($B16&gt;=CurMonthStart,$B16&lt;=CurMonthEnd),$K16,0)</f>
        <v/>
      </c>
    </row>
    <row r="17">
      <c r="A17" s="38">
        <f>ROW()-5</f>
        <v/>
      </c>
      <c r="B17" s="39" t="n">
        <v>45878</v>
      </c>
      <c r="C17" s="38" t="inlineStr">
        <is>
          <t>Netflix</t>
        </is>
      </c>
      <c r="D17" s="38">
        <f>IFERROR(INDEX(Dim_Vendor[VendorID],MATCH($C17,Dim_Vendor[VendorName],0)),"")</f>
        <v/>
      </c>
      <c r="E17" s="38" t="inlineStr">
        <is>
          <t>Dining &amp; Entertainment</t>
        </is>
      </c>
      <c r="F17" s="38">
        <f>IFERROR(INDEX(Dim_Category[CategoryID],MATCH($E17,Dim_Category[CategoryName],0)),"")</f>
        <v/>
      </c>
      <c r="G17" s="38" t="inlineStr">
        <is>
          <t>Credit Card</t>
        </is>
      </c>
      <c r="H17" s="38">
        <f>IFERROR(INDEX(Dim_Account[AccountID],MATCH($G17,Dim_Account[AccountName],0)),"")</f>
        <v/>
      </c>
      <c r="I17" s="38" t="inlineStr">
        <is>
          <t>Credit Card</t>
        </is>
      </c>
      <c r="J17" s="38">
        <f>IFERROR(INDEX(Dim_PaymentMethod[PaymentMethodID],MATCH($I17,Dim_PaymentMethod[MethodName],0)),"")</f>
        <v/>
      </c>
      <c r="K17" s="40" t="n">
        <v>15.49</v>
      </c>
      <c r="L17" s="38" t="inlineStr">
        <is>
          <t>Want</t>
        </is>
      </c>
      <c r="M17" s="38" t="inlineStr">
        <is>
          <t>Yes</t>
        </is>
      </c>
      <c r="N17" s="38" t="inlineStr">
        <is>
          <t>Streaming subscription</t>
        </is>
      </c>
      <c r="O17" s="38" t="n"/>
      <c r="P17" s="40">
        <f>IF(AND($B17&gt;=CurMonthStart,$B17&lt;=CurMonthEnd),$K17,0)</f>
        <v/>
      </c>
    </row>
    <row r="18">
      <c r="A18" s="38">
        <f>ROW()-5</f>
        <v/>
      </c>
      <c r="B18" s="39" t="n">
        <v>45881</v>
      </c>
      <c r="C18" s="38" t="inlineStr">
        <is>
          <t>AMC Theatres</t>
        </is>
      </c>
      <c r="D18" s="38">
        <f>IFERROR(INDEX(Dim_Vendor[VendorID],MATCH($C18,Dim_Vendor[VendorName],0)),"")</f>
        <v/>
      </c>
      <c r="E18" s="38" t="inlineStr">
        <is>
          <t>Dining &amp; Entertainment</t>
        </is>
      </c>
      <c r="F18" s="38">
        <f>IFERROR(INDEX(Dim_Category[CategoryID],MATCH($E18,Dim_Category[CategoryName],0)),"")</f>
        <v/>
      </c>
      <c r="G18" s="38" t="inlineStr">
        <is>
          <t>Credit Card</t>
        </is>
      </c>
      <c r="H18" s="38">
        <f>IFERROR(INDEX(Dim_Account[AccountID],MATCH($G18,Dim_Account[AccountName],0)),"")</f>
        <v/>
      </c>
      <c r="I18" s="38" t="inlineStr">
        <is>
          <t>Credit Card</t>
        </is>
      </c>
      <c r="J18" s="38">
        <f>IFERROR(INDEX(Dim_PaymentMethod[PaymentMethodID],MATCH($I18,Dim_PaymentMethod[MethodName],0)),"")</f>
        <v/>
      </c>
      <c r="K18" s="40" t="n">
        <v>30.56</v>
      </c>
      <c r="L18" s="38" t="inlineStr">
        <is>
          <t>Want</t>
        </is>
      </c>
      <c r="M18" s="38" t="inlineStr">
        <is>
          <t>No</t>
        </is>
      </c>
      <c r="N18" s="38" t="inlineStr"/>
      <c r="O18" s="38" t="n"/>
      <c r="P18" s="40">
        <f>IF(AND($B18&gt;=CurMonthStart,$B18&lt;=CurMonthEnd),$K18,0)</f>
        <v/>
      </c>
    </row>
    <row r="19">
      <c r="A19" s="38">
        <f>ROW()-5</f>
        <v/>
      </c>
      <c r="B19" s="39" t="n">
        <v>45884</v>
      </c>
      <c r="C19" s="38" t="inlineStr">
        <is>
          <t>Planet Fitness</t>
        </is>
      </c>
      <c r="D19" s="38">
        <f>IFERROR(INDEX(Dim_Vendor[VendorID],MATCH($C19,Dim_Vendor[VendorName],0)),"")</f>
        <v/>
      </c>
      <c r="E19" s="38" t="inlineStr">
        <is>
          <t>Personal Care</t>
        </is>
      </c>
      <c r="F19" s="38">
        <f>IFERROR(INDEX(Dim_Category[CategoryID],MATCH($E19,Dim_Category[CategoryName],0)),"")</f>
        <v/>
      </c>
      <c r="G19" s="38" t="inlineStr">
        <is>
          <t>Checking</t>
        </is>
      </c>
      <c r="H19" s="38">
        <f>IFERROR(INDEX(Dim_Account[AccountID],MATCH($G19,Dim_Account[AccountName],0)),"")</f>
        <v/>
      </c>
      <c r="I19" s="38" t="inlineStr">
        <is>
          <t>ACH</t>
        </is>
      </c>
      <c r="J19" s="38">
        <f>IFERROR(INDEX(Dim_PaymentMethod[PaymentMethodID],MATCH($I19,Dim_PaymentMethod[MethodName],0)),"")</f>
        <v/>
      </c>
      <c r="K19" s="40" t="n">
        <v>25.01</v>
      </c>
      <c r="L19" s="38" t="inlineStr">
        <is>
          <t>Want</t>
        </is>
      </c>
      <c r="M19" s="38" t="inlineStr">
        <is>
          <t>Yes</t>
        </is>
      </c>
      <c r="N19" s="38" t="inlineStr">
        <is>
          <t>Gym membership</t>
        </is>
      </c>
      <c r="O19" s="38" t="n"/>
      <c r="P19" s="40">
        <f>IF(AND($B19&gt;=CurMonthStart,$B19&lt;=CurMonthEnd),$K19,0)</f>
        <v/>
      </c>
    </row>
    <row r="20">
      <c r="A20" s="38">
        <f>ROW()-5</f>
        <v/>
      </c>
      <c r="B20" s="39" t="n">
        <v>45887</v>
      </c>
      <c r="C20" s="38" t="inlineStr">
        <is>
          <t>Amazon</t>
        </is>
      </c>
      <c r="D20" s="38">
        <f>IFERROR(INDEX(Dim_Vendor[VendorID],MATCH($C20,Dim_Vendor[VendorName],0)),"")</f>
        <v/>
      </c>
      <c r="E20" s="38" t="inlineStr">
        <is>
          <t>Shopping</t>
        </is>
      </c>
      <c r="F20" s="38">
        <f>IFERROR(INDEX(Dim_Category[CategoryID],MATCH($E20,Dim_Category[CategoryName],0)),"")</f>
        <v/>
      </c>
      <c r="G20" s="38" t="inlineStr">
        <is>
          <t>Credit Card</t>
        </is>
      </c>
      <c r="H20" s="38">
        <f>IFERROR(INDEX(Dim_Account[AccountID],MATCH($G20,Dim_Account[AccountName],0)),"")</f>
        <v/>
      </c>
      <c r="I20" s="38" t="inlineStr">
        <is>
          <t>Credit Card</t>
        </is>
      </c>
      <c r="J20" s="38">
        <f>IFERROR(INDEX(Dim_PaymentMethod[PaymentMethodID],MATCH($I20,Dim_PaymentMethod[MethodName],0)),"")</f>
        <v/>
      </c>
      <c r="K20" s="40" t="n">
        <v>63.28</v>
      </c>
      <c r="L20" s="38" t="inlineStr">
        <is>
          <t>Want</t>
        </is>
      </c>
      <c r="M20" s="38" t="inlineStr">
        <is>
          <t>No</t>
        </is>
      </c>
      <c r="N20" s="38" t="inlineStr"/>
      <c r="O20" s="38" t="n"/>
      <c r="P20" s="40">
        <f>IF(AND($B20&gt;=CurMonthStart,$B20&lt;=CurMonthEnd),$K20,0)</f>
        <v/>
      </c>
    </row>
    <row r="21">
      <c r="A21" s="38">
        <f>ROW()-5</f>
        <v/>
      </c>
      <c r="B21" s="39" t="n">
        <v>45890</v>
      </c>
      <c r="C21" s="38" t="inlineStr">
        <is>
          <t>Target</t>
        </is>
      </c>
      <c r="D21" s="38">
        <f>IFERROR(INDEX(Dim_Vendor[VendorID],MATCH($C21,Dim_Vendor[VendorName],0)),"")</f>
        <v/>
      </c>
      <c r="E21" s="38" t="inlineStr">
        <is>
          <t>Shopping</t>
        </is>
      </c>
      <c r="F21" s="38">
        <f>IFERROR(INDEX(Dim_Category[CategoryID],MATCH($E21,Dim_Category[CategoryName],0)),"")</f>
        <v/>
      </c>
      <c r="G21" s="38" t="inlineStr">
        <is>
          <t>Credit Card</t>
        </is>
      </c>
      <c r="H21" s="38">
        <f>IFERROR(INDEX(Dim_Account[AccountID],MATCH($G21,Dim_Account[AccountName],0)),"")</f>
        <v/>
      </c>
      <c r="I21" s="38" t="inlineStr">
        <is>
          <t>Credit Card</t>
        </is>
      </c>
      <c r="J21" s="38">
        <f>IFERROR(INDEX(Dim_PaymentMethod[PaymentMethodID],MATCH($I21,Dim_PaymentMethod[MethodName],0)),"")</f>
        <v/>
      </c>
      <c r="K21" s="40" t="n">
        <v>51.7</v>
      </c>
      <c r="L21" s="38" t="inlineStr">
        <is>
          <t>Want</t>
        </is>
      </c>
      <c r="M21" s="38" t="inlineStr">
        <is>
          <t>No</t>
        </is>
      </c>
      <c r="N21" s="38" t="inlineStr"/>
      <c r="O21" s="38" t="n"/>
      <c r="P21" s="40">
        <f>IF(AND($B21&gt;=CurMonthStart,$B21&lt;=CurMonthEnd),$K21,0)</f>
        <v/>
      </c>
    </row>
    <row r="22">
      <c r="A22" s="38">
        <f>ROW()-5</f>
        <v/>
      </c>
      <c r="B22" s="39" t="n">
        <v>45903</v>
      </c>
      <c r="C22" s="38" t="inlineStr">
        <is>
          <t>Mortgage Lender</t>
        </is>
      </c>
      <c r="D22" s="38">
        <f>IFERROR(INDEX(Dim_Vendor[VendorID],MATCH($C22,Dim_Vendor[VendorName],0)),"")</f>
        <v/>
      </c>
      <c r="E22" s="38" t="inlineStr">
        <is>
          <t>Mortgage</t>
        </is>
      </c>
      <c r="F22" s="38">
        <f>IFERROR(INDEX(Dim_Category[CategoryID],MATCH($E22,Dim_Category[CategoryName],0)),"")</f>
        <v/>
      </c>
      <c r="G22" s="38" t="inlineStr">
        <is>
          <t>Checking</t>
        </is>
      </c>
      <c r="H22" s="38">
        <f>IFERROR(INDEX(Dim_Account[AccountID],MATCH($G22,Dim_Account[AccountName],0)),"")</f>
        <v/>
      </c>
      <c r="I22" s="38" t="inlineStr">
        <is>
          <t>ACH</t>
        </is>
      </c>
      <c r="J22" s="38">
        <f>IFERROR(INDEX(Dim_PaymentMethod[PaymentMethodID],MATCH($I22,Dim_PaymentMethod[MethodName],0)),"")</f>
        <v/>
      </c>
      <c r="K22" s="40" t="n">
        <v>2201.56</v>
      </c>
      <c r="L22" s="38" t="inlineStr">
        <is>
          <t>Need</t>
        </is>
      </c>
      <c r="M22" s="38" t="inlineStr">
        <is>
          <t>Yes</t>
        </is>
      </c>
      <c r="N22" s="38" t="inlineStr">
        <is>
          <t>Monthly mortgage payment</t>
        </is>
      </c>
      <c r="O22" s="38" t="n"/>
      <c r="P22" s="40">
        <f>IF(AND($B22&gt;=CurMonthStart,$B22&lt;=CurMonthEnd),$K22,0)</f>
        <v/>
      </c>
    </row>
    <row r="23">
      <c r="A23" s="38">
        <f>ROW()-5</f>
        <v/>
      </c>
      <c r="B23" s="39" t="n">
        <v>45906</v>
      </c>
      <c r="C23" s="38" t="inlineStr">
        <is>
          <t>Whole Foods</t>
        </is>
      </c>
      <c r="D23" s="38">
        <f>IFERROR(INDEX(Dim_Vendor[VendorID],MATCH($C23,Dim_Vendor[VendorName],0)),"")</f>
        <v/>
      </c>
      <c r="E23" s="38" t="inlineStr">
        <is>
          <t>Groceries</t>
        </is>
      </c>
      <c r="F23" s="38">
        <f>IFERROR(INDEX(Dim_Category[CategoryID],MATCH($E23,Dim_Category[CategoryName],0)),"")</f>
        <v/>
      </c>
      <c r="G23" s="38" t="inlineStr">
        <is>
          <t>Credit Card</t>
        </is>
      </c>
      <c r="H23" s="38">
        <f>IFERROR(INDEX(Dim_Account[AccountID],MATCH($G23,Dim_Account[AccountName],0)),"")</f>
        <v/>
      </c>
      <c r="I23" s="38" t="inlineStr">
        <is>
          <t>Credit Card</t>
        </is>
      </c>
      <c r="J23" s="38">
        <f>IFERROR(INDEX(Dim_PaymentMethod[PaymentMethodID],MATCH($I23,Dim_PaymentMethod[MethodName],0)),"")</f>
        <v/>
      </c>
      <c r="K23" s="40" t="n">
        <v>187.76</v>
      </c>
      <c r="L23" s="38" t="inlineStr">
        <is>
          <t>Need</t>
        </is>
      </c>
      <c r="M23" s="38" t="inlineStr">
        <is>
          <t>No</t>
        </is>
      </c>
      <c r="N23" s="38" t="inlineStr"/>
      <c r="O23" s="38" t="n"/>
      <c r="P23" s="40">
        <f>IF(AND($B23&gt;=CurMonthStart,$B23&lt;=CurMonthEnd),$K23,0)</f>
        <v/>
      </c>
    </row>
    <row r="24">
      <c r="A24" s="38">
        <f>ROW()-5</f>
        <v/>
      </c>
      <c r="B24" s="39" t="n">
        <v>45909</v>
      </c>
      <c r="C24" s="38" t="inlineStr">
        <is>
          <t>Costco</t>
        </is>
      </c>
      <c r="D24" s="38">
        <f>IFERROR(INDEX(Dim_Vendor[VendorID],MATCH($C24,Dim_Vendor[VendorName],0)),"")</f>
        <v/>
      </c>
      <c r="E24" s="38" t="inlineStr">
        <is>
          <t>Groceries</t>
        </is>
      </c>
      <c r="F24" s="38">
        <f>IFERROR(INDEX(Dim_Category[CategoryID],MATCH($E24,Dim_Category[CategoryName],0)),"")</f>
        <v/>
      </c>
      <c r="G24" s="38" t="inlineStr">
        <is>
          <t>Credit Card</t>
        </is>
      </c>
      <c r="H24" s="38">
        <f>IFERROR(INDEX(Dim_Account[AccountID],MATCH($G24,Dim_Account[AccountName],0)),"")</f>
        <v/>
      </c>
      <c r="I24" s="38" t="inlineStr">
        <is>
          <t>Credit Card</t>
        </is>
      </c>
      <c r="J24" s="38">
        <f>IFERROR(INDEX(Dim_PaymentMethod[PaymentMethodID],MATCH($I24,Dim_PaymentMethod[MethodName],0)),"")</f>
        <v/>
      </c>
      <c r="K24" s="40" t="n">
        <v>234.14</v>
      </c>
      <c r="L24" s="38" t="inlineStr">
        <is>
          <t>Need</t>
        </is>
      </c>
      <c r="M24" s="38" t="inlineStr">
        <is>
          <t>No</t>
        </is>
      </c>
      <c r="N24" s="38" t="inlineStr">
        <is>
          <t>Bulk groceries</t>
        </is>
      </c>
      <c r="O24" s="38" t="n"/>
      <c r="P24" s="40">
        <f>IF(AND($B24&gt;=CurMonthStart,$B24&lt;=CurMonthEnd),$K24,0)</f>
        <v/>
      </c>
    </row>
    <row r="25">
      <c r="A25" s="38">
        <f>ROW()-5</f>
        <v/>
      </c>
      <c r="B25" s="39" t="n">
        <v>45912</v>
      </c>
      <c r="C25" s="38" t="inlineStr">
        <is>
          <t>Shell Gas Station</t>
        </is>
      </c>
      <c r="D25" s="38">
        <f>IFERROR(INDEX(Dim_Vendor[VendorID],MATCH($C25,Dim_Vendor[VendorName],0)),"")</f>
        <v/>
      </c>
      <c r="E25" s="38" t="inlineStr">
        <is>
          <t>Car</t>
        </is>
      </c>
      <c r="F25" s="38">
        <f>IFERROR(INDEX(Dim_Category[CategoryID],MATCH($E25,Dim_Category[CategoryName],0)),"")</f>
        <v/>
      </c>
      <c r="G25" s="38" t="inlineStr">
        <is>
          <t>Credit Card</t>
        </is>
      </c>
      <c r="H25" s="38">
        <f>IFERROR(INDEX(Dim_Account[AccountID],MATCH($G25,Dim_Account[AccountName],0)),"")</f>
        <v/>
      </c>
      <c r="I25" s="38" t="inlineStr">
        <is>
          <t>Credit Card</t>
        </is>
      </c>
      <c r="J25" s="38">
        <f>IFERROR(INDEX(Dim_PaymentMethod[PaymentMethodID],MATCH($I25,Dim_PaymentMethod[MethodName],0)),"")</f>
        <v/>
      </c>
      <c r="K25" s="40" t="n">
        <v>53.05</v>
      </c>
      <c r="L25" s="38" t="inlineStr">
        <is>
          <t>Need</t>
        </is>
      </c>
      <c r="M25" s="38" t="inlineStr">
        <is>
          <t>No</t>
        </is>
      </c>
      <c r="N25" s="38" t="inlineStr">
        <is>
          <t>Gas</t>
        </is>
      </c>
      <c r="O25" s="38" t="n"/>
      <c r="P25" s="40">
        <f>IF(AND($B25&gt;=CurMonthStart,$B25&lt;=CurMonthEnd),$K25,0)</f>
        <v/>
      </c>
    </row>
    <row r="26">
      <c r="A26" s="38">
        <f>ROW()-5</f>
        <v/>
      </c>
      <c r="B26" s="39" t="n">
        <v>45915</v>
      </c>
      <c r="C26" s="38" t="inlineStr">
        <is>
          <t>AutoZone</t>
        </is>
      </c>
      <c r="D26" s="38">
        <f>IFERROR(INDEX(Dim_Vendor[VendorID],MATCH($C26,Dim_Vendor[VendorName],0)),"")</f>
        <v/>
      </c>
      <c r="E26" s="38" t="inlineStr">
        <is>
          <t>Car</t>
        </is>
      </c>
      <c r="F26" s="38">
        <f>IFERROR(INDEX(Dim_Category[CategoryID],MATCH($E26,Dim_Category[CategoryName],0)),"")</f>
        <v/>
      </c>
      <c r="G26" s="38" t="inlineStr">
        <is>
          <t>Credit Card</t>
        </is>
      </c>
      <c r="H26" s="38">
        <f>IFERROR(INDEX(Dim_Account[AccountID],MATCH($G26,Dim_Account[AccountName],0)),"")</f>
        <v/>
      </c>
      <c r="I26" s="38" t="inlineStr">
        <is>
          <t>Credit Card</t>
        </is>
      </c>
      <c r="J26" s="38">
        <f>IFERROR(INDEX(Dim_PaymentMethod[PaymentMethodID],MATCH($I26,Dim_PaymentMethod[MethodName],0)),"")</f>
        <v/>
      </c>
      <c r="K26" s="40" t="n">
        <v>40.67</v>
      </c>
      <c r="L26" s="38" t="inlineStr">
        <is>
          <t>Need</t>
        </is>
      </c>
      <c r="M26" s="38" t="inlineStr">
        <is>
          <t>No</t>
        </is>
      </c>
      <c r="N26" s="38" t="inlineStr">
        <is>
          <t>Wiper blades / oil</t>
        </is>
      </c>
      <c r="O26" s="38" t="n"/>
      <c r="P26" s="40">
        <f>IF(AND($B26&gt;=CurMonthStart,$B26&lt;=CurMonthEnd),$K26,0)</f>
        <v/>
      </c>
    </row>
    <row r="27">
      <c r="A27" s="38">
        <f>ROW()-5</f>
        <v/>
      </c>
      <c r="B27" s="39" t="n">
        <v>45918</v>
      </c>
      <c r="C27" s="38" t="inlineStr">
        <is>
          <t>City Electric Co</t>
        </is>
      </c>
      <c r="D27" s="38">
        <f>IFERROR(INDEX(Dim_Vendor[VendorID],MATCH($C27,Dim_Vendor[VendorName],0)),"")</f>
        <v/>
      </c>
      <c r="E27" s="38" t="inlineStr">
        <is>
          <t>Utilities</t>
        </is>
      </c>
      <c r="F27" s="38">
        <f>IFERROR(INDEX(Dim_Category[CategoryID],MATCH($E27,Dim_Category[CategoryName],0)),"")</f>
        <v/>
      </c>
      <c r="G27" s="38" t="inlineStr">
        <is>
          <t>Checking</t>
        </is>
      </c>
      <c r="H27" s="38">
        <f>IFERROR(INDEX(Dim_Account[AccountID],MATCH($G27,Dim_Account[AccountName],0)),"")</f>
        <v/>
      </c>
      <c r="I27" s="38" t="inlineStr">
        <is>
          <t>ACH</t>
        </is>
      </c>
      <c r="J27" s="38">
        <f>IFERROR(INDEX(Dim_PaymentMethod[PaymentMethodID],MATCH($I27,Dim_PaymentMethod[MethodName],0)),"")</f>
        <v/>
      </c>
      <c r="K27" s="40" t="n">
        <v>118.45</v>
      </c>
      <c r="L27" s="38" t="inlineStr">
        <is>
          <t>Need</t>
        </is>
      </c>
      <c r="M27" s="38" t="inlineStr">
        <is>
          <t>Yes</t>
        </is>
      </c>
      <c r="N27" s="38" t="inlineStr"/>
      <c r="O27" s="38" t="n"/>
      <c r="P27" s="40">
        <f>IF(AND($B27&gt;=CurMonthStart,$B27&lt;=CurMonthEnd),$K27,0)</f>
        <v/>
      </c>
    </row>
    <row r="28">
      <c r="A28" s="38">
        <f>ROW()-5</f>
        <v/>
      </c>
      <c r="B28" s="39" t="n">
        <v>45921</v>
      </c>
      <c r="C28" s="38" t="inlineStr">
        <is>
          <t>Comcast Xfinity</t>
        </is>
      </c>
      <c r="D28" s="38">
        <f>IFERROR(INDEX(Dim_Vendor[VendorID],MATCH($C28,Dim_Vendor[VendorName],0)),"")</f>
        <v/>
      </c>
      <c r="E28" s="38" t="inlineStr">
        <is>
          <t>Utilities</t>
        </is>
      </c>
      <c r="F28" s="38">
        <f>IFERROR(INDEX(Dim_Category[CategoryID],MATCH($E28,Dim_Category[CategoryName],0)),"")</f>
        <v/>
      </c>
      <c r="G28" s="38" t="inlineStr">
        <is>
          <t>Checking</t>
        </is>
      </c>
      <c r="H28" s="38">
        <f>IFERROR(INDEX(Dim_Account[AccountID],MATCH($G28,Dim_Account[AccountName],0)),"")</f>
        <v/>
      </c>
      <c r="I28" s="38" t="inlineStr">
        <is>
          <t>ACH</t>
        </is>
      </c>
      <c r="J28" s="38">
        <f>IFERROR(INDEX(Dim_PaymentMethod[PaymentMethodID],MATCH($I28,Dim_PaymentMethod[MethodName],0)),"")</f>
        <v/>
      </c>
      <c r="K28" s="40" t="n">
        <v>83.90000000000001</v>
      </c>
      <c r="L28" s="38" t="inlineStr">
        <is>
          <t>Need</t>
        </is>
      </c>
      <c r="M28" s="38" t="inlineStr">
        <is>
          <t>Yes</t>
        </is>
      </c>
      <c r="N28" s="38" t="inlineStr">
        <is>
          <t>Internet</t>
        </is>
      </c>
      <c r="O28" s="38" t="n"/>
      <c r="P28" s="40">
        <f>IF(AND($B28&gt;=CurMonthStart,$B28&lt;=CurMonthEnd),$K28,0)</f>
        <v/>
      </c>
    </row>
    <row r="29">
      <c r="A29" s="38">
        <f>ROW()-5</f>
        <v/>
      </c>
      <c r="B29" s="39" t="n">
        <v>45924</v>
      </c>
      <c r="C29" s="38" t="inlineStr">
        <is>
          <t>Verizon Wireless</t>
        </is>
      </c>
      <c r="D29" s="38">
        <f>IFERROR(INDEX(Dim_Vendor[VendorID],MATCH($C29,Dim_Vendor[VendorName],0)),"")</f>
        <v/>
      </c>
      <c r="E29" s="38" t="inlineStr">
        <is>
          <t>Utilities</t>
        </is>
      </c>
      <c r="F29" s="38">
        <f>IFERROR(INDEX(Dim_Category[CategoryID],MATCH($E29,Dim_Category[CategoryName],0)),"")</f>
        <v/>
      </c>
      <c r="G29" s="38" t="inlineStr">
        <is>
          <t>Checking</t>
        </is>
      </c>
      <c r="H29" s="38">
        <f>IFERROR(INDEX(Dim_Account[AccountID],MATCH($G29,Dim_Account[AccountName],0)),"")</f>
        <v/>
      </c>
      <c r="I29" s="38" t="inlineStr">
        <is>
          <t>ACH</t>
        </is>
      </c>
      <c r="J29" s="38">
        <f>IFERROR(INDEX(Dim_PaymentMethod[PaymentMethodID],MATCH($I29,Dim_PaymentMethod[MethodName],0)),"")</f>
        <v/>
      </c>
      <c r="K29" s="40" t="n">
        <v>98.01000000000001</v>
      </c>
      <c r="L29" s="38" t="inlineStr">
        <is>
          <t>Need</t>
        </is>
      </c>
      <c r="M29" s="38" t="inlineStr">
        <is>
          <t>Yes</t>
        </is>
      </c>
      <c r="N29" s="38" t="inlineStr">
        <is>
          <t>Mobile phone</t>
        </is>
      </c>
      <c r="O29" s="38" t="n"/>
      <c r="P29" s="40">
        <f>IF(AND($B29&gt;=CurMonthStart,$B29&lt;=CurMonthEnd),$K29,0)</f>
        <v/>
      </c>
    </row>
    <row r="30">
      <c r="A30" s="38">
        <f>ROW()-5</f>
        <v/>
      </c>
      <c r="B30" s="39" t="n">
        <v>45927</v>
      </c>
      <c r="C30" s="38" t="inlineStr">
        <is>
          <t>State Farm Insurance</t>
        </is>
      </c>
      <c r="D30" s="38">
        <f>IFERROR(INDEX(Dim_Vendor[VendorID],MATCH($C30,Dim_Vendor[VendorName],0)),"")</f>
        <v/>
      </c>
      <c r="E30" s="38" t="inlineStr">
        <is>
          <t>Insurance</t>
        </is>
      </c>
      <c r="F30" s="38">
        <f>IFERROR(INDEX(Dim_Category[CategoryID],MATCH($E30,Dim_Category[CategoryName],0)),"")</f>
        <v/>
      </c>
      <c r="G30" s="38" t="inlineStr">
        <is>
          <t>Checking</t>
        </is>
      </c>
      <c r="H30" s="38">
        <f>IFERROR(INDEX(Dim_Account[AccountID],MATCH($G30,Dim_Account[AccountName],0)),"")</f>
        <v/>
      </c>
      <c r="I30" s="38" t="inlineStr">
        <is>
          <t>ACH</t>
        </is>
      </c>
      <c r="J30" s="38">
        <f>IFERROR(INDEX(Dim_PaymentMethod[PaymentMethodID],MATCH($I30,Dim_PaymentMethod[MethodName],0)),"")</f>
        <v/>
      </c>
      <c r="K30" s="40" t="n">
        <v>138.37</v>
      </c>
      <c r="L30" s="38" t="inlineStr">
        <is>
          <t>Need</t>
        </is>
      </c>
      <c r="M30" s="38" t="inlineStr">
        <is>
          <t>Yes</t>
        </is>
      </c>
      <c r="N30" s="38" t="inlineStr">
        <is>
          <t>Auto + home insurance</t>
        </is>
      </c>
      <c r="O30" s="38" t="n"/>
      <c r="P30" s="40">
        <f>IF(AND($B30&gt;=CurMonthStart,$B30&lt;=CurMonthEnd),$K30,0)</f>
        <v/>
      </c>
    </row>
    <row r="31">
      <c r="A31" s="38">
        <f>ROW()-5</f>
        <v/>
      </c>
      <c r="B31" s="39" t="n">
        <v>45903</v>
      </c>
      <c r="C31" s="38" t="inlineStr">
        <is>
          <t>Kaiser Permanente</t>
        </is>
      </c>
      <c r="D31" s="38">
        <f>IFERROR(INDEX(Dim_Vendor[VendorID],MATCH($C31,Dim_Vendor[VendorName],0)),"")</f>
        <v/>
      </c>
      <c r="E31" s="38" t="inlineStr">
        <is>
          <t>Healthcare</t>
        </is>
      </c>
      <c r="F31" s="38">
        <f>IFERROR(INDEX(Dim_Category[CategoryID],MATCH($E31,Dim_Category[CategoryName],0)),"")</f>
        <v/>
      </c>
      <c r="G31" s="38" t="inlineStr">
        <is>
          <t>Credit Card</t>
        </is>
      </c>
      <c r="H31" s="38">
        <f>IFERROR(INDEX(Dim_Account[AccountID],MATCH($G31,Dim_Account[AccountName],0)),"")</f>
        <v/>
      </c>
      <c r="I31" s="38" t="inlineStr">
        <is>
          <t>Credit Card</t>
        </is>
      </c>
      <c r="J31" s="38">
        <f>IFERROR(INDEX(Dim_PaymentMethod[PaymentMethodID],MATCH($I31,Dim_PaymentMethod[MethodName],0)),"")</f>
        <v/>
      </c>
      <c r="K31" s="40" t="n">
        <v>42.52</v>
      </c>
      <c r="L31" s="38" t="inlineStr">
        <is>
          <t>Need</t>
        </is>
      </c>
      <c r="M31" s="38" t="inlineStr">
        <is>
          <t>No</t>
        </is>
      </c>
      <c r="N31" s="38" t="inlineStr">
        <is>
          <t>Copay</t>
        </is>
      </c>
      <c r="O31" s="38" t="n"/>
      <c r="P31" s="40">
        <f>IF(AND($B31&gt;=CurMonthStart,$B31&lt;=CurMonthEnd),$K31,0)</f>
        <v/>
      </c>
    </row>
    <row r="32">
      <c r="A32" s="38">
        <f>ROW()-5</f>
        <v/>
      </c>
      <c r="B32" s="39" t="n">
        <v>45906</v>
      </c>
      <c r="C32" s="38" t="inlineStr">
        <is>
          <t>Chipotle</t>
        </is>
      </c>
      <c r="D32" s="38">
        <f>IFERROR(INDEX(Dim_Vendor[VendorID],MATCH($C32,Dim_Vendor[VendorName],0)),"")</f>
        <v/>
      </c>
      <c r="E32" s="38" t="inlineStr">
        <is>
          <t>Dining &amp; Entertainment</t>
        </is>
      </c>
      <c r="F32" s="38">
        <f>IFERROR(INDEX(Dim_Category[CategoryID],MATCH($E32,Dim_Category[CategoryName],0)),"")</f>
        <v/>
      </c>
      <c r="G32" s="38" t="inlineStr">
        <is>
          <t>Credit Card</t>
        </is>
      </c>
      <c r="H32" s="38">
        <f>IFERROR(INDEX(Dim_Account[AccountID],MATCH($G32,Dim_Account[AccountName],0)),"")</f>
        <v/>
      </c>
      <c r="I32" s="38" t="inlineStr">
        <is>
          <t>Credit Card</t>
        </is>
      </c>
      <c r="J32" s="38">
        <f>IFERROR(INDEX(Dim_PaymentMethod[PaymentMethodID],MATCH($I32,Dim_PaymentMethod[MethodName],0)),"")</f>
        <v/>
      </c>
      <c r="K32" s="40" t="n">
        <v>14.25</v>
      </c>
      <c r="L32" s="38" t="inlineStr">
        <is>
          <t>Want</t>
        </is>
      </c>
      <c r="M32" s="38" t="inlineStr">
        <is>
          <t>No</t>
        </is>
      </c>
      <c r="N32" s="38" t="inlineStr"/>
      <c r="O32" s="38" t="n"/>
      <c r="P32" s="40">
        <f>IF(AND($B32&gt;=CurMonthStart,$B32&lt;=CurMonthEnd),$K32,0)</f>
        <v/>
      </c>
    </row>
    <row r="33">
      <c r="A33" s="38">
        <f>ROW()-5</f>
        <v/>
      </c>
      <c r="B33" s="39" t="n">
        <v>45909</v>
      </c>
      <c r="C33" s="38" t="inlineStr">
        <is>
          <t>Netflix</t>
        </is>
      </c>
      <c r="D33" s="38">
        <f>IFERROR(INDEX(Dim_Vendor[VendorID],MATCH($C33,Dim_Vendor[VendorName],0)),"")</f>
        <v/>
      </c>
      <c r="E33" s="38" t="inlineStr">
        <is>
          <t>Dining &amp; Entertainment</t>
        </is>
      </c>
      <c r="F33" s="38">
        <f>IFERROR(INDEX(Dim_Category[CategoryID],MATCH($E33,Dim_Category[CategoryName],0)),"")</f>
        <v/>
      </c>
      <c r="G33" s="38" t="inlineStr">
        <is>
          <t>Credit Card</t>
        </is>
      </c>
      <c r="H33" s="38">
        <f>IFERROR(INDEX(Dim_Account[AccountID],MATCH($G33,Dim_Account[AccountName],0)),"")</f>
        <v/>
      </c>
      <c r="I33" s="38" t="inlineStr">
        <is>
          <t>Credit Card</t>
        </is>
      </c>
      <c r="J33" s="38">
        <f>IFERROR(INDEX(Dim_PaymentMethod[PaymentMethodID],MATCH($I33,Dim_PaymentMethod[MethodName],0)),"")</f>
        <v/>
      </c>
      <c r="K33" s="40" t="n">
        <v>15.49</v>
      </c>
      <c r="L33" s="38" t="inlineStr">
        <is>
          <t>Want</t>
        </is>
      </c>
      <c r="M33" s="38" t="inlineStr">
        <is>
          <t>Yes</t>
        </is>
      </c>
      <c r="N33" s="38" t="inlineStr">
        <is>
          <t>Streaming subscription</t>
        </is>
      </c>
      <c r="O33" s="38" t="n"/>
      <c r="P33" s="40">
        <f>IF(AND($B33&gt;=CurMonthStart,$B33&lt;=CurMonthEnd),$K33,0)</f>
        <v/>
      </c>
    </row>
    <row r="34">
      <c r="A34" s="38">
        <f>ROW()-5</f>
        <v/>
      </c>
      <c r="B34" s="39" t="n">
        <v>45912</v>
      </c>
      <c r="C34" s="38" t="inlineStr">
        <is>
          <t>AMC Theatres</t>
        </is>
      </c>
      <c r="D34" s="38">
        <f>IFERROR(INDEX(Dim_Vendor[VendorID],MATCH($C34,Dim_Vendor[VendorName],0)),"")</f>
        <v/>
      </c>
      <c r="E34" s="38" t="inlineStr">
        <is>
          <t>Dining &amp; Entertainment</t>
        </is>
      </c>
      <c r="F34" s="38">
        <f>IFERROR(INDEX(Dim_Category[CategoryID],MATCH($E34,Dim_Category[CategoryName],0)),"")</f>
        <v/>
      </c>
      <c r="G34" s="38" t="inlineStr">
        <is>
          <t>Credit Card</t>
        </is>
      </c>
      <c r="H34" s="38">
        <f>IFERROR(INDEX(Dim_Account[AccountID],MATCH($G34,Dim_Account[AccountName],0)),"")</f>
        <v/>
      </c>
      <c r="I34" s="38" t="inlineStr">
        <is>
          <t>Credit Card</t>
        </is>
      </c>
      <c r="J34" s="38">
        <f>IFERROR(INDEX(Dim_PaymentMethod[PaymentMethodID],MATCH($I34,Dim_PaymentMethod[MethodName],0)),"")</f>
        <v/>
      </c>
      <c r="K34" s="40" t="n">
        <v>34.34</v>
      </c>
      <c r="L34" s="38" t="inlineStr">
        <is>
          <t>Want</t>
        </is>
      </c>
      <c r="M34" s="38" t="inlineStr">
        <is>
          <t>No</t>
        </is>
      </c>
      <c r="N34" s="38" t="inlineStr"/>
      <c r="O34" s="38" t="n"/>
      <c r="P34" s="40">
        <f>IF(AND($B34&gt;=CurMonthStart,$B34&lt;=CurMonthEnd),$K34,0)</f>
        <v/>
      </c>
    </row>
    <row r="35">
      <c r="A35" s="38">
        <f>ROW()-5</f>
        <v/>
      </c>
      <c r="B35" s="39" t="n">
        <v>45915</v>
      </c>
      <c r="C35" s="38" t="inlineStr">
        <is>
          <t>Planet Fitness</t>
        </is>
      </c>
      <c r="D35" s="38">
        <f>IFERROR(INDEX(Dim_Vendor[VendorID],MATCH($C35,Dim_Vendor[VendorName],0)),"")</f>
        <v/>
      </c>
      <c r="E35" s="38" t="inlineStr">
        <is>
          <t>Personal Care</t>
        </is>
      </c>
      <c r="F35" s="38">
        <f>IFERROR(INDEX(Dim_Category[CategoryID],MATCH($E35,Dim_Category[CategoryName],0)),"")</f>
        <v/>
      </c>
      <c r="G35" s="38" t="inlineStr">
        <is>
          <t>Checking</t>
        </is>
      </c>
      <c r="H35" s="38">
        <f>IFERROR(INDEX(Dim_Account[AccountID],MATCH($G35,Dim_Account[AccountName],0)),"")</f>
        <v/>
      </c>
      <c r="I35" s="38" t="inlineStr">
        <is>
          <t>ACH</t>
        </is>
      </c>
      <c r="J35" s="38">
        <f>IFERROR(INDEX(Dim_PaymentMethod[PaymentMethodID],MATCH($I35,Dim_PaymentMethod[MethodName],0)),"")</f>
        <v/>
      </c>
      <c r="K35" s="40" t="n">
        <v>24.34</v>
      </c>
      <c r="L35" s="38" t="inlineStr">
        <is>
          <t>Want</t>
        </is>
      </c>
      <c r="M35" s="38" t="inlineStr">
        <is>
          <t>Yes</t>
        </is>
      </c>
      <c r="N35" s="38" t="inlineStr">
        <is>
          <t>Gym membership</t>
        </is>
      </c>
      <c r="O35" s="38" t="n"/>
      <c r="P35" s="40">
        <f>IF(AND($B35&gt;=CurMonthStart,$B35&lt;=CurMonthEnd),$K35,0)</f>
        <v/>
      </c>
    </row>
    <row r="36">
      <c r="A36" s="38">
        <f>ROW()-5</f>
        <v/>
      </c>
      <c r="B36" s="39" t="n">
        <v>45918</v>
      </c>
      <c r="C36" s="38" t="inlineStr">
        <is>
          <t>Amazon</t>
        </is>
      </c>
      <c r="D36" s="38">
        <f>IFERROR(INDEX(Dim_Vendor[VendorID],MATCH($C36,Dim_Vendor[VendorName],0)),"")</f>
        <v/>
      </c>
      <c r="E36" s="38" t="inlineStr">
        <is>
          <t>Shopping</t>
        </is>
      </c>
      <c r="F36" s="38">
        <f>IFERROR(INDEX(Dim_Category[CategoryID],MATCH($E36,Dim_Category[CategoryName],0)),"")</f>
        <v/>
      </c>
      <c r="G36" s="38" t="inlineStr">
        <is>
          <t>Credit Card</t>
        </is>
      </c>
      <c r="H36" s="38">
        <f>IFERROR(INDEX(Dim_Account[AccountID],MATCH($G36,Dim_Account[AccountName],0)),"")</f>
        <v/>
      </c>
      <c r="I36" s="38" t="inlineStr">
        <is>
          <t>Credit Card</t>
        </is>
      </c>
      <c r="J36" s="38">
        <f>IFERROR(INDEX(Dim_PaymentMethod[PaymentMethodID],MATCH($I36,Dim_PaymentMethod[MethodName],0)),"")</f>
        <v/>
      </c>
      <c r="K36" s="40" t="n">
        <v>64.01000000000001</v>
      </c>
      <c r="L36" s="38" t="inlineStr">
        <is>
          <t>Want</t>
        </is>
      </c>
      <c r="M36" s="38" t="inlineStr">
        <is>
          <t>No</t>
        </is>
      </c>
      <c r="N36" s="38" t="inlineStr"/>
      <c r="O36" s="38" t="n"/>
      <c r="P36" s="40">
        <f>IF(AND($B36&gt;=CurMonthStart,$B36&lt;=CurMonthEnd),$K36,0)</f>
        <v/>
      </c>
    </row>
    <row r="37">
      <c r="A37" s="38">
        <f>ROW()-5</f>
        <v/>
      </c>
      <c r="B37" s="39" t="n">
        <v>45921</v>
      </c>
      <c r="C37" s="38" t="inlineStr">
        <is>
          <t>Target</t>
        </is>
      </c>
      <c r="D37" s="38">
        <f>IFERROR(INDEX(Dim_Vendor[VendorID],MATCH($C37,Dim_Vendor[VendorName],0)),"")</f>
        <v/>
      </c>
      <c r="E37" s="38" t="inlineStr">
        <is>
          <t>Shopping</t>
        </is>
      </c>
      <c r="F37" s="38">
        <f>IFERROR(INDEX(Dim_Category[CategoryID],MATCH($E37,Dim_Category[CategoryName],0)),"")</f>
        <v/>
      </c>
      <c r="G37" s="38" t="inlineStr">
        <is>
          <t>Credit Card</t>
        </is>
      </c>
      <c r="H37" s="38">
        <f>IFERROR(INDEX(Dim_Account[AccountID],MATCH($G37,Dim_Account[AccountName],0)),"")</f>
        <v/>
      </c>
      <c r="I37" s="38" t="inlineStr">
        <is>
          <t>Credit Card</t>
        </is>
      </c>
      <c r="J37" s="38">
        <f>IFERROR(INDEX(Dim_PaymentMethod[PaymentMethodID],MATCH($I37,Dim_PaymentMethod[MethodName],0)),"")</f>
        <v/>
      </c>
      <c r="K37" s="40" t="n">
        <v>50.81</v>
      </c>
      <c r="L37" s="38" t="inlineStr">
        <is>
          <t>Want</t>
        </is>
      </c>
      <c r="M37" s="38" t="inlineStr">
        <is>
          <t>No</t>
        </is>
      </c>
      <c r="N37" s="38" t="inlineStr"/>
      <c r="O37" s="38" t="n"/>
      <c r="P37" s="40">
        <f>IF(AND($B37&gt;=CurMonthStart,$B37&lt;=CurMonthEnd),$K37,0)</f>
        <v/>
      </c>
    </row>
    <row r="38">
      <c r="A38" s="38">
        <f>ROW()-5</f>
        <v/>
      </c>
      <c r="B38" s="39" t="n">
        <v>45933</v>
      </c>
      <c r="C38" s="38" t="inlineStr">
        <is>
          <t>Mortgage Lender</t>
        </is>
      </c>
      <c r="D38" s="38">
        <f>IFERROR(INDEX(Dim_Vendor[VendorID],MATCH($C38,Dim_Vendor[VendorName],0)),"")</f>
        <v/>
      </c>
      <c r="E38" s="38" t="inlineStr">
        <is>
          <t>Mortgage</t>
        </is>
      </c>
      <c r="F38" s="38">
        <f>IFERROR(INDEX(Dim_Category[CategoryID],MATCH($E38,Dim_Category[CategoryName],0)),"")</f>
        <v/>
      </c>
      <c r="G38" s="38" t="inlineStr">
        <is>
          <t>Checking</t>
        </is>
      </c>
      <c r="H38" s="38">
        <f>IFERROR(INDEX(Dim_Account[AccountID],MATCH($G38,Dim_Account[AccountName],0)),"")</f>
        <v/>
      </c>
      <c r="I38" s="38" t="inlineStr">
        <is>
          <t>ACH</t>
        </is>
      </c>
      <c r="J38" s="38">
        <f>IFERROR(INDEX(Dim_PaymentMethod[PaymentMethodID],MATCH($I38,Dim_PaymentMethod[MethodName],0)),"")</f>
        <v/>
      </c>
      <c r="K38" s="40" t="n">
        <v>2269.54</v>
      </c>
      <c r="L38" s="38" t="inlineStr">
        <is>
          <t>Need</t>
        </is>
      </c>
      <c r="M38" s="38" t="inlineStr">
        <is>
          <t>Yes</t>
        </is>
      </c>
      <c r="N38" s="38" t="inlineStr">
        <is>
          <t>Monthly mortgage payment</t>
        </is>
      </c>
      <c r="O38" s="38" t="n"/>
      <c r="P38" s="40">
        <f>IF(AND($B38&gt;=CurMonthStart,$B38&lt;=CurMonthEnd),$K38,0)</f>
        <v/>
      </c>
    </row>
    <row r="39">
      <c r="A39" s="38">
        <f>ROW()-5</f>
        <v/>
      </c>
      <c r="B39" s="39" t="n">
        <v>45936</v>
      </c>
      <c r="C39" s="38" t="inlineStr">
        <is>
          <t>Whole Foods</t>
        </is>
      </c>
      <c r="D39" s="38">
        <f>IFERROR(INDEX(Dim_Vendor[VendorID],MATCH($C39,Dim_Vendor[VendorName],0)),"")</f>
        <v/>
      </c>
      <c r="E39" s="38" t="inlineStr">
        <is>
          <t>Groceries</t>
        </is>
      </c>
      <c r="F39" s="38">
        <f>IFERROR(INDEX(Dim_Category[CategoryID],MATCH($E39,Dim_Category[CategoryName],0)),"")</f>
        <v/>
      </c>
      <c r="G39" s="38" t="inlineStr">
        <is>
          <t>Credit Card</t>
        </is>
      </c>
      <c r="H39" s="38">
        <f>IFERROR(INDEX(Dim_Account[AccountID],MATCH($G39,Dim_Account[AccountName],0)),"")</f>
        <v/>
      </c>
      <c r="I39" s="38" t="inlineStr">
        <is>
          <t>Credit Card</t>
        </is>
      </c>
      <c r="J39" s="38">
        <f>IFERROR(INDEX(Dim_PaymentMethod[PaymentMethodID],MATCH($I39,Dim_PaymentMethod[MethodName],0)),"")</f>
        <v/>
      </c>
      <c r="K39" s="40" t="n">
        <v>189.51</v>
      </c>
      <c r="L39" s="38" t="inlineStr">
        <is>
          <t>Need</t>
        </is>
      </c>
      <c r="M39" s="38" t="inlineStr">
        <is>
          <t>No</t>
        </is>
      </c>
      <c r="N39" s="38" t="inlineStr"/>
      <c r="O39" s="38" t="n"/>
      <c r="P39" s="40">
        <f>IF(AND($B39&gt;=CurMonthStart,$B39&lt;=CurMonthEnd),$K39,0)</f>
        <v/>
      </c>
    </row>
    <row r="40">
      <c r="A40" s="38">
        <f>ROW()-5</f>
        <v/>
      </c>
      <c r="B40" s="39" t="n">
        <v>45939</v>
      </c>
      <c r="C40" s="38" t="inlineStr">
        <is>
          <t>Costco</t>
        </is>
      </c>
      <c r="D40" s="38">
        <f>IFERROR(INDEX(Dim_Vendor[VendorID],MATCH($C40,Dim_Vendor[VendorName],0)),"")</f>
        <v/>
      </c>
      <c r="E40" s="38" t="inlineStr">
        <is>
          <t>Groceries</t>
        </is>
      </c>
      <c r="F40" s="38">
        <f>IFERROR(INDEX(Dim_Category[CategoryID],MATCH($E40,Dim_Category[CategoryName],0)),"")</f>
        <v/>
      </c>
      <c r="G40" s="38" t="inlineStr">
        <is>
          <t>Credit Card</t>
        </is>
      </c>
      <c r="H40" s="38">
        <f>IFERROR(INDEX(Dim_Account[AccountID],MATCH($G40,Dim_Account[AccountName],0)),"")</f>
        <v/>
      </c>
      <c r="I40" s="38" t="inlineStr">
        <is>
          <t>Credit Card</t>
        </is>
      </c>
      <c r="J40" s="38">
        <f>IFERROR(INDEX(Dim_PaymentMethod[PaymentMethodID],MATCH($I40,Dim_PaymentMethod[MethodName],0)),"")</f>
        <v/>
      </c>
      <c r="K40" s="40" t="n">
        <v>257.14</v>
      </c>
      <c r="L40" s="38" t="inlineStr">
        <is>
          <t>Need</t>
        </is>
      </c>
      <c r="M40" s="38" t="inlineStr">
        <is>
          <t>No</t>
        </is>
      </c>
      <c r="N40" s="38" t="inlineStr">
        <is>
          <t>Bulk groceries</t>
        </is>
      </c>
      <c r="O40" s="38" t="n"/>
      <c r="P40" s="40">
        <f>IF(AND($B40&gt;=CurMonthStart,$B40&lt;=CurMonthEnd),$K40,0)</f>
        <v/>
      </c>
    </row>
    <row r="41">
      <c r="A41" s="38">
        <f>ROW()-5</f>
        <v/>
      </c>
      <c r="B41" s="39" t="n">
        <v>45942</v>
      </c>
      <c r="C41" s="38" t="inlineStr">
        <is>
          <t>Shell Gas Station</t>
        </is>
      </c>
      <c r="D41" s="38">
        <f>IFERROR(INDEX(Dim_Vendor[VendorID],MATCH($C41,Dim_Vendor[VendorName],0)),"")</f>
        <v/>
      </c>
      <c r="E41" s="38" t="inlineStr">
        <is>
          <t>Car</t>
        </is>
      </c>
      <c r="F41" s="38">
        <f>IFERROR(INDEX(Dim_Category[CategoryID],MATCH($E41,Dim_Category[CategoryName],0)),"")</f>
        <v/>
      </c>
      <c r="G41" s="38" t="inlineStr">
        <is>
          <t>Credit Card</t>
        </is>
      </c>
      <c r="H41" s="38">
        <f>IFERROR(INDEX(Dim_Account[AccountID],MATCH($G41,Dim_Account[AccountName],0)),"")</f>
        <v/>
      </c>
      <c r="I41" s="38" t="inlineStr">
        <is>
          <t>Credit Card</t>
        </is>
      </c>
      <c r="J41" s="38">
        <f>IFERROR(INDEX(Dim_PaymentMethod[PaymentMethodID],MATCH($I41,Dim_PaymentMethod[MethodName],0)),"")</f>
        <v/>
      </c>
      <c r="K41" s="40" t="n">
        <v>54.22</v>
      </c>
      <c r="L41" s="38" t="inlineStr">
        <is>
          <t>Need</t>
        </is>
      </c>
      <c r="M41" s="38" t="inlineStr">
        <is>
          <t>No</t>
        </is>
      </c>
      <c r="N41" s="38" t="inlineStr">
        <is>
          <t>Gas</t>
        </is>
      </c>
      <c r="O41" s="38" t="n"/>
      <c r="P41" s="40">
        <f>IF(AND($B41&gt;=CurMonthStart,$B41&lt;=CurMonthEnd),$K41,0)</f>
        <v/>
      </c>
    </row>
    <row r="42">
      <c r="A42" s="38">
        <f>ROW()-5</f>
        <v/>
      </c>
      <c r="B42" s="39" t="n">
        <v>45945</v>
      </c>
      <c r="C42" s="38" t="inlineStr">
        <is>
          <t>AutoZone</t>
        </is>
      </c>
      <c r="D42" s="38">
        <f>IFERROR(INDEX(Dim_Vendor[VendorID],MATCH($C42,Dim_Vendor[VendorName],0)),"")</f>
        <v/>
      </c>
      <c r="E42" s="38" t="inlineStr">
        <is>
          <t>Car</t>
        </is>
      </c>
      <c r="F42" s="38">
        <f>IFERROR(INDEX(Dim_Category[CategoryID],MATCH($E42,Dim_Category[CategoryName],0)),"")</f>
        <v/>
      </c>
      <c r="G42" s="38" t="inlineStr">
        <is>
          <t>Credit Card</t>
        </is>
      </c>
      <c r="H42" s="38">
        <f>IFERROR(INDEX(Dim_Account[AccountID],MATCH($G42,Dim_Account[AccountName],0)),"")</f>
        <v/>
      </c>
      <c r="I42" s="38" t="inlineStr">
        <is>
          <t>Credit Card</t>
        </is>
      </c>
      <c r="J42" s="38">
        <f>IFERROR(INDEX(Dim_PaymentMethod[PaymentMethodID],MATCH($I42,Dim_PaymentMethod[MethodName],0)),"")</f>
        <v/>
      </c>
      <c r="K42" s="40" t="n">
        <v>38.97</v>
      </c>
      <c r="L42" s="38" t="inlineStr">
        <is>
          <t>Need</t>
        </is>
      </c>
      <c r="M42" s="38" t="inlineStr">
        <is>
          <t>No</t>
        </is>
      </c>
      <c r="N42" s="38" t="inlineStr">
        <is>
          <t>Wiper blades / oil</t>
        </is>
      </c>
      <c r="O42" s="38" t="n"/>
      <c r="P42" s="40">
        <f>IF(AND($B42&gt;=CurMonthStart,$B42&lt;=CurMonthEnd),$K42,0)</f>
        <v/>
      </c>
    </row>
    <row r="43">
      <c r="A43" s="38">
        <f>ROW()-5</f>
        <v/>
      </c>
      <c r="B43" s="39" t="n">
        <v>45948</v>
      </c>
      <c r="C43" s="38" t="inlineStr">
        <is>
          <t>City Electric Co</t>
        </is>
      </c>
      <c r="D43" s="38">
        <f>IFERROR(INDEX(Dim_Vendor[VendorID],MATCH($C43,Dim_Vendor[VendorName],0)),"")</f>
        <v/>
      </c>
      <c r="E43" s="38" t="inlineStr">
        <is>
          <t>Utilities</t>
        </is>
      </c>
      <c r="F43" s="38">
        <f>IFERROR(INDEX(Dim_Category[CategoryID],MATCH($E43,Dim_Category[CategoryName],0)),"")</f>
        <v/>
      </c>
      <c r="G43" s="38" t="inlineStr">
        <is>
          <t>Checking</t>
        </is>
      </c>
      <c r="H43" s="38">
        <f>IFERROR(INDEX(Dim_Account[AccountID],MATCH($G43,Dim_Account[AccountName],0)),"")</f>
        <v/>
      </c>
      <c r="I43" s="38" t="inlineStr">
        <is>
          <t>ACH</t>
        </is>
      </c>
      <c r="J43" s="38">
        <f>IFERROR(INDEX(Dim_PaymentMethod[PaymentMethodID],MATCH($I43,Dim_PaymentMethod[MethodName],0)),"")</f>
        <v/>
      </c>
      <c r="K43" s="40" t="n">
        <v>138.33</v>
      </c>
      <c r="L43" s="38" t="inlineStr">
        <is>
          <t>Need</t>
        </is>
      </c>
      <c r="M43" s="38" t="inlineStr">
        <is>
          <t>Yes</t>
        </is>
      </c>
      <c r="N43" s="38" t="inlineStr"/>
      <c r="O43" s="38" t="n"/>
      <c r="P43" s="40">
        <f>IF(AND($B43&gt;=CurMonthStart,$B43&lt;=CurMonthEnd),$K43,0)</f>
        <v/>
      </c>
    </row>
    <row r="44">
      <c r="A44" s="38">
        <f>ROW()-5</f>
        <v/>
      </c>
      <c r="B44" s="39" t="n">
        <v>45951</v>
      </c>
      <c r="C44" s="38" t="inlineStr">
        <is>
          <t>Comcast Xfinity</t>
        </is>
      </c>
      <c r="D44" s="38">
        <f>IFERROR(INDEX(Dim_Vendor[VendorID],MATCH($C44,Dim_Vendor[VendorName],0)),"")</f>
        <v/>
      </c>
      <c r="E44" s="38" t="inlineStr">
        <is>
          <t>Utilities</t>
        </is>
      </c>
      <c r="F44" s="38">
        <f>IFERROR(INDEX(Dim_Category[CategoryID],MATCH($E44,Dim_Category[CategoryName],0)),"")</f>
        <v/>
      </c>
      <c r="G44" s="38" t="inlineStr">
        <is>
          <t>Checking</t>
        </is>
      </c>
      <c r="H44" s="38">
        <f>IFERROR(INDEX(Dim_Account[AccountID],MATCH($G44,Dim_Account[AccountName],0)),"")</f>
        <v/>
      </c>
      <c r="I44" s="38" t="inlineStr">
        <is>
          <t>ACH</t>
        </is>
      </c>
      <c r="J44" s="38">
        <f>IFERROR(INDEX(Dim_PaymentMethod[PaymentMethodID],MATCH($I44,Dim_PaymentMethod[MethodName],0)),"")</f>
        <v/>
      </c>
      <c r="K44" s="40" t="n">
        <v>78.44</v>
      </c>
      <c r="L44" s="38" t="inlineStr">
        <is>
          <t>Need</t>
        </is>
      </c>
      <c r="M44" s="38" t="inlineStr">
        <is>
          <t>Yes</t>
        </is>
      </c>
      <c r="N44" s="38" t="inlineStr">
        <is>
          <t>Internet</t>
        </is>
      </c>
      <c r="O44" s="38" t="n"/>
      <c r="P44" s="40">
        <f>IF(AND($B44&gt;=CurMonthStart,$B44&lt;=CurMonthEnd),$K44,0)</f>
        <v/>
      </c>
    </row>
    <row r="45">
      <c r="A45" s="38">
        <f>ROW()-5</f>
        <v/>
      </c>
      <c r="B45" s="39" t="n">
        <v>45954</v>
      </c>
      <c r="C45" s="38" t="inlineStr">
        <is>
          <t>Verizon Wireless</t>
        </is>
      </c>
      <c r="D45" s="38">
        <f>IFERROR(INDEX(Dim_Vendor[VendorID],MATCH($C45,Dim_Vendor[VendorName],0)),"")</f>
        <v/>
      </c>
      <c r="E45" s="38" t="inlineStr">
        <is>
          <t>Utilities</t>
        </is>
      </c>
      <c r="F45" s="38">
        <f>IFERROR(INDEX(Dim_Category[CategoryID],MATCH($E45,Dim_Category[CategoryName],0)),"")</f>
        <v/>
      </c>
      <c r="G45" s="38" t="inlineStr">
        <is>
          <t>Checking</t>
        </is>
      </c>
      <c r="H45" s="38">
        <f>IFERROR(INDEX(Dim_Account[AccountID],MATCH($G45,Dim_Account[AccountName],0)),"")</f>
        <v/>
      </c>
      <c r="I45" s="38" t="inlineStr">
        <is>
          <t>ACH</t>
        </is>
      </c>
      <c r="J45" s="38">
        <f>IFERROR(INDEX(Dim_PaymentMethod[PaymentMethodID],MATCH($I45,Dim_PaymentMethod[MethodName],0)),"")</f>
        <v/>
      </c>
      <c r="K45" s="40" t="n">
        <v>95.79000000000001</v>
      </c>
      <c r="L45" s="38" t="inlineStr">
        <is>
          <t>Need</t>
        </is>
      </c>
      <c r="M45" s="38" t="inlineStr">
        <is>
          <t>Yes</t>
        </is>
      </c>
      <c r="N45" s="38" t="inlineStr">
        <is>
          <t>Mobile phone</t>
        </is>
      </c>
      <c r="O45" s="38" t="n"/>
      <c r="P45" s="40">
        <f>IF(AND($B45&gt;=CurMonthStart,$B45&lt;=CurMonthEnd),$K45,0)</f>
        <v/>
      </c>
    </row>
    <row r="46">
      <c r="A46" s="38">
        <f>ROW()-5</f>
        <v/>
      </c>
      <c r="B46" s="39" t="n">
        <v>45957</v>
      </c>
      <c r="C46" s="38" t="inlineStr">
        <is>
          <t>State Farm Insurance</t>
        </is>
      </c>
      <c r="D46" s="38">
        <f>IFERROR(INDEX(Dim_Vendor[VendorID],MATCH($C46,Dim_Vendor[VendorName],0)),"")</f>
        <v/>
      </c>
      <c r="E46" s="38" t="inlineStr">
        <is>
          <t>Insurance</t>
        </is>
      </c>
      <c r="F46" s="38">
        <f>IFERROR(INDEX(Dim_Category[CategoryID],MATCH($E46,Dim_Category[CategoryName],0)),"")</f>
        <v/>
      </c>
      <c r="G46" s="38" t="inlineStr">
        <is>
          <t>Checking</t>
        </is>
      </c>
      <c r="H46" s="38">
        <f>IFERROR(INDEX(Dim_Account[AccountID],MATCH($G46,Dim_Account[AccountName],0)),"")</f>
        <v/>
      </c>
      <c r="I46" s="38" t="inlineStr">
        <is>
          <t>ACH</t>
        </is>
      </c>
      <c r="J46" s="38">
        <f>IFERROR(INDEX(Dim_PaymentMethod[PaymentMethodID],MATCH($I46,Dim_PaymentMethod[MethodName],0)),"")</f>
        <v/>
      </c>
      <c r="K46" s="40" t="n">
        <v>149.48</v>
      </c>
      <c r="L46" s="38" t="inlineStr">
        <is>
          <t>Need</t>
        </is>
      </c>
      <c r="M46" s="38" t="inlineStr">
        <is>
          <t>Yes</t>
        </is>
      </c>
      <c r="N46" s="38" t="inlineStr">
        <is>
          <t>Auto + home insurance</t>
        </is>
      </c>
      <c r="O46" s="38" t="n"/>
      <c r="P46" s="40">
        <f>IF(AND($B46&gt;=CurMonthStart,$B46&lt;=CurMonthEnd),$K46,0)</f>
        <v/>
      </c>
    </row>
    <row r="47">
      <c r="A47" s="38">
        <f>ROW()-5</f>
        <v/>
      </c>
      <c r="B47" s="39" t="n">
        <v>45933</v>
      </c>
      <c r="C47" s="38" t="inlineStr">
        <is>
          <t>Kaiser Permanente</t>
        </is>
      </c>
      <c r="D47" s="38">
        <f>IFERROR(INDEX(Dim_Vendor[VendorID],MATCH($C47,Dim_Vendor[VendorName],0)),"")</f>
        <v/>
      </c>
      <c r="E47" s="38" t="inlineStr">
        <is>
          <t>Healthcare</t>
        </is>
      </c>
      <c r="F47" s="38">
        <f>IFERROR(INDEX(Dim_Category[CategoryID],MATCH($E47,Dim_Category[CategoryName],0)),"")</f>
        <v/>
      </c>
      <c r="G47" s="38" t="inlineStr">
        <is>
          <t>Credit Card</t>
        </is>
      </c>
      <c r="H47" s="38">
        <f>IFERROR(INDEX(Dim_Account[AccountID],MATCH($G47,Dim_Account[AccountName],0)),"")</f>
        <v/>
      </c>
      <c r="I47" s="38" t="inlineStr">
        <is>
          <t>Credit Card</t>
        </is>
      </c>
      <c r="J47" s="38">
        <f>IFERROR(INDEX(Dim_PaymentMethod[PaymentMethodID],MATCH($I47,Dim_PaymentMethod[MethodName],0)),"")</f>
        <v/>
      </c>
      <c r="K47" s="40" t="n">
        <v>45.85</v>
      </c>
      <c r="L47" s="38" t="inlineStr">
        <is>
          <t>Need</t>
        </is>
      </c>
      <c r="M47" s="38" t="inlineStr">
        <is>
          <t>No</t>
        </is>
      </c>
      <c r="N47" s="38" t="inlineStr">
        <is>
          <t>Copay</t>
        </is>
      </c>
      <c r="O47" s="38" t="n"/>
      <c r="P47" s="40">
        <f>IF(AND($B47&gt;=CurMonthStart,$B47&lt;=CurMonthEnd),$K47,0)</f>
        <v/>
      </c>
    </row>
    <row r="48">
      <c r="A48" s="38">
        <f>ROW()-5</f>
        <v/>
      </c>
      <c r="B48" s="39" t="n">
        <v>45936</v>
      </c>
      <c r="C48" s="38" t="inlineStr">
        <is>
          <t>Chipotle</t>
        </is>
      </c>
      <c r="D48" s="38">
        <f>IFERROR(INDEX(Dim_Vendor[VendorID],MATCH($C48,Dim_Vendor[VendorName],0)),"")</f>
        <v/>
      </c>
      <c r="E48" s="38" t="inlineStr">
        <is>
          <t>Dining &amp; Entertainment</t>
        </is>
      </c>
      <c r="F48" s="38">
        <f>IFERROR(INDEX(Dim_Category[CategoryID],MATCH($E48,Dim_Category[CategoryName],0)),"")</f>
        <v/>
      </c>
      <c r="G48" s="38" t="inlineStr">
        <is>
          <t>Credit Card</t>
        </is>
      </c>
      <c r="H48" s="38">
        <f>IFERROR(INDEX(Dim_Account[AccountID],MATCH($G48,Dim_Account[AccountName],0)),"")</f>
        <v/>
      </c>
      <c r="I48" s="38" t="inlineStr">
        <is>
          <t>Credit Card</t>
        </is>
      </c>
      <c r="J48" s="38">
        <f>IFERROR(INDEX(Dim_PaymentMethod[PaymentMethodID],MATCH($I48,Dim_PaymentMethod[MethodName],0)),"")</f>
        <v/>
      </c>
      <c r="K48" s="40" t="n">
        <v>14.25</v>
      </c>
      <c r="L48" s="38" t="inlineStr">
        <is>
          <t>Want</t>
        </is>
      </c>
      <c r="M48" s="38" t="inlineStr">
        <is>
          <t>No</t>
        </is>
      </c>
      <c r="N48" s="38" t="inlineStr"/>
      <c r="O48" s="38" t="n"/>
      <c r="P48" s="40">
        <f>IF(AND($B48&gt;=CurMonthStart,$B48&lt;=CurMonthEnd),$K48,0)</f>
        <v/>
      </c>
    </row>
    <row r="49">
      <c r="A49" s="38">
        <f>ROW()-5</f>
        <v/>
      </c>
      <c r="B49" s="39" t="n">
        <v>45939</v>
      </c>
      <c r="C49" s="38" t="inlineStr">
        <is>
          <t>Netflix</t>
        </is>
      </c>
      <c r="D49" s="38">
        <f>IFERROR(INDEX(Dim_Vendor[VendorID],MATCH($C49,Dim_Vendor[VendorName],0)),"")</f>
        <v/>
      </c>
      <c r="E49" s="38" t="inlineStr">
        <is>
          <t>Dining &amp; Entertainment</t>
        </is>
      </c>
      <c r="F49" s="38">
        <f>IFERROR(INDEX(Dim_Category[CategoryID],MATCH($E49,Dim_Category[CategoryName],0)),"")</f>
        <v/>
      </c>
      <c r="G49" s="38" t="inlineStr">
        <is>
          <t>Credit Card</t>
        </is>
      </c>
      <c r="H49" s="38">
        <f>IFERROR(INDEX(Dim_Account[AccountID],MATCH($G49,Dim_Account[AccountName],0)),"")</f>
        <v/>
      </c>
      <c r="I49" s="38" t="inlineStr">
        <is>
          <t>Credit Card</t>
        </is>
      </c>
      <c r="J49" s="38">
        <f>IFERROR(INDEX(Dim_PaymentMethod[PaymentMethodID],MATCH($I49,Dim_PaymentMethod[MethodName],0)),"")</f>
        <v/>
      </c>
      <c r="K49" s="40" t="n">
        <v>15.49</v>
      </c>
      <c r="L49" s="38" t="inlineStr">
        <is>
          <t>Want</t>
        </is>
      </c>
      <c r="M49" s="38" t="inlineStr">
        <is>
          <t>Yes</t>
        </is>
      </c>
      <c r="N49" s="38" t="inlineStr">
        <is>
          <t>Streaming subscription</t>
        </is>
      </c>
      <c r="O49" s="38" t="n"/>
      <c r="P49" s="40">
        <f>IF(AND($B49&gt;=CurMonthStart,$B49&lt;=CurMonthEnd),$K49,0)</f>
        <v/>
      </c>
    </row>
    <row r="50">
      <c r="A50" s="38">
        <f>ROW()-5</f>
        <v/>
      </c>
      <c r="B50" s="39" t="n">
        <v>45942</v>
      </c>
      <c r="C50" s="38" t="inlineStr">
        <is>
          <t>AMC Theatres</t>
        </is>
      </c>
      <c r="D50" s="38">
        <f>IFERROR(INDEX(Dim_Vendor[VendorID],MATCH($C50,Dim_Vendor[VendorName],0)),"")</f>
        <v/>
      </c>
      <c r="E50" s="38" t="inlineStr">
        <is>
          <t>Dining &amp; Entertainment</t>
        </is>
      </c>
      <c r="F50" s="38">
        <f>IFERROR(INDEX(Dim_Category[CategoryID],MATCH($E50,Dim_Category[CategoryName],0)),"")</f>
        <v/>
      </c>
      <c r="G50" s="38" t="inlineStr">
        <is>
          <t>Credit Card</t>
        </is>
      </c>
      <c r="H50" s="38">
        <f>IFERROR(INDEX(Dim_Account[AccountID],MATCH($G50,Dim_Account[AccountName],0)),"")</f>
        <v/>
      </c>
      <c r="I50" s="38" t="inlineStr">
        <is>
          <t>Credit Card</t>
        </is>
      </c>
      <c r="J50" s="38">
        <f>IFERROR(INDEX(Dim_PaymentMethod[PaymentMethodID],MATCH($I50,Dim_PaymentMethod[MethodName],0)),"")</f>
        <v/>
      </c>
      <c r="K50" s="40" t="n">
        <v>33.85</v>
      </c>
      <c r="L50" s="38" t="inlineStr">
        <is>
          <t>Want</t>
        </is>
      </c>
      <c r="M50" s="38" t="inlineStr">
        <is>
          <t>No</t>
        </is>
      </c>
      <c r="N50" s="38" t="inlineStr"/>
      <c r="O50" s="38" t="n"/>
      <c r="P50" s="40">
        <f>IF(AND($B50&gt;=CurMonthStart,$B50&lt;=CurMonthEnd),$K50,0)</f>
        <v/>
      </c>
    </row>
    <row r="51">
      <c r="A51" s="38">
        <f>ROW()-5</f>
        <v/>
      </c>
      <c r="B51" s="39" t="n">
        <v>45945</v>
      </c>
      <c r="C51" s="38" t="inlineStr">
        <is>
          <t>Planet Fitness</t>
        </is>
      </c>
      <c r="D51" s="38">
        <f>IFERROR(INDEX(Dim_Vendor[VendorID],MATCH($C51,Dim_Vendor[VendorName],0)),"")</f>
        <v/>
      </c>
      <c r="E51" s="38" t="inlineStr">
        <is>
          <t>Personal Care</t>
        </is>
      </c>
      <c r="F51" s="38">
        <f>IFERROR(INDEX(Dim_Category[CategoryID],MATCH($E51,Dim_Category[CategoryName],0)),"")</f>
        <v/>
      </c>
      <c r="G51" s="38" t="inlineStr">
        <is>
          <t>Checking</t>
        </is>
      </c>
      <c r="H51" s="38">
        <f>IFERROR(INDEX(Dim_Account[AccountID],MATCH($G51,Dim_Account[AccountName],0)),"")</f>
        <v/>
      </c>
      <c r="I51" s="38" t="inlineStr">
        <is>
          <t>ACH</t>
        </is>
      </c>
      <c r="J51" s="38">
        <f>IFERROR(INDEX(Dim_PaymentMethod[PaymentMethodID],MATCH($I51,Dim_PaymentMethod[MethodName],0)),"")</f>
        <v/>
      </c>
      <c r="K51" s="40" t="n">
        <v>25.3</v>
      </c>
      <c r="L51" s="38" t="inlineStr">
        <is>
          <t>Want</t>
        </is>
      </c>
      <c r="M51" s="38" t="inlineStr">
        <is>
          <t>Yes</t>
        </is>
      </c>
      <c r="N51" s="38" t="inlineStr">
        <is>
          <t>Gym membership</t>
        </is>
      </c>
      <c r="O51" s="38" t="n"/>
      <c r="P51" s="40">
        <f>IF(AND($B51&gt;=CurMonthStart,$B51&lt;=CurMonthEnd),$K51,0)</f>
        <v/>
      </c>
    </row>
    <row r="52">
      <c r="A52" s="38">
        <f>ROW()-5</f>
        <v/>
      </c>
      <c r="B52" s="39" t="n">
        <v>45948</v>
      </c>
      <c r="C52" s="38" t="inlineStr">
        <is>
          <t>Amazon</t>
        </is>
      </c>
      <c r="D52" s="38">
        <f>IFERROR(INDEX(Dim_Vendor[VendorID],MATCH($C52,Dim_Vendor[VendorName],0)),"")</f>
        <v/>
      </c>
      <c r="E52" s="38" t="inlineStr">
        <is>
          <t>Shopping</t>
        </is>
      </c>
      <c r="F52" s="38">
        <f>IFERROR(INDEX(Dim_Category[CategoryID],MATCH($E52,Dim_Category[CategoryName],0)),"")</f>
        <v/>
      </c>
      <c r="G52" s="38" t="inlineStr">
        <is>
          <t>Credit Card</t>
        </is>
      </c>
      <c r="H52" s="38">
        <f>IFERROR(INDEX(Dim_Account[AccountID],MATCH($G52,Dim_Account[AccountName],0)),"")</f>
        <v/>
      </c>
      <c r="I52" s="38" t="inlineStr">
        <is>
          <t>Credit Card</t>
        </is>
      </c>
      <c r="J52" s="38">
        <f>IFERROR(INDEX(Dim_PaymentMethod[PaymentMethodID],MATCH($I52,Dim_PaymentMethod[MethodName],0)),"")</f>
        <v/>
      </c>
      <c r="K52" s="40" t="n">
        <v>70.70999999999999</v>
      </c>
      <c r="L52" s="38" t="inlineStr">
        <is>
          <t>Want</t>
        </is>
      </c>
      <c r="M52" s="38" t="inlineStr">
        <is>
          <t>No</t>
        </is>
      </c>
      <c r="N52" s="38" t="inlineStr"/>
      <c r="O52" s="38" t="n"/>
      <c r="P52" s="40">
        <f>IF(AND($B52&gt;=CurMonthStart,$B52&lt;=CurMonthEnd),$K52,0)</f>
        <v/>
      </c>
    </row>
    <row r="53">
      <c r="A53" s="38">
        <f>ROW()-5</f>
        <v/>
      </c>
      <c r="B53" s="39" t="n">
        <v>45951</v>
      </c>
      <c r="C53" s="38" t="inlineStr">
        <is>
          <t>Target</t>
        </is>
      </c>
      <c r="D53" s="38">
        <f>IFERROR(INDEX(Dim_Vendor[VendorID],MATCH($C53,Dim_Vendor[VendorName],0)),"")</f>
        <v/>
      </c>
      <c r="E53" s="38" t="inlineStr">
        <is>
          <t>Shopping</t>
        </is>
      </c>
      <c r="F53" s="38">
        <f>IFERROR(INDEX(Dim_Category[CategoryID],MATCH($E53,Dim_Category[CategoryName],0)),"")</f>
        <v/>
      </c>
      <c r="G53" s="38" t="inlineStr">
        <is>
          <t>Credit Card</t>
        </is>
      </c>
      <c r="H53" s="38">
        <f>IFERROR(INDEX(Dim_Account[AccountID],MATCH($G53,Dim_Account[AccountName],0)),"")</f>
        <v/>
      </c>
      <c r="I53" s="38" t="inlineStr">
        <is>
          <t>Credit Card</t>
        </is>
      </c>
      <c r="J53" s="38">
        <f>IFERROR(INDEX(Dim_PaymentMethod[PaymentMethodID],MATCH($I53,Dim_PaymentMethod[MethodName],0)),"")</f>
        <v/>
      </c>
      <c r="K53" s="40" t="n">
        <v>50.37</v>
      </c>
      <c r="L53" s="38" t="inlineStr">
        <is>
          <t>Want</t>
        </is>
      </c>
      <c r="M53" s="38" t="inlineStr">
        <is>
          <t>No</t>
        </is>
      </c>
      <c r="N53" s="38" t="inlineStr"/>
      <c r="O53" s="38" t="n"/>
      <c r="P53" s="40">
        <f>IF(AND($B53&gt;=CurMonthStart,$B53&lt;=CurMonthEnd),$K53,0)</f>
        <v/>
      </c>
    </row>
    <row r="54">
      <c r="A54" s="38">
        <f>ROW()-5</f>
        <v/>
      </c>
      <c r="B54" s="39" t="n">
        <v>45964</v>
      </c>
      <c r="C54" s="38" t="inlineStr">
        <is>
          <t>Mortgage Lender</t>
        </is>
      </c>
      <c r="D54" s="38">
        <f>IFERROR(INDEX(Dim_Vendor[VendorID],MATCH($C54,Dim_Vendor[VendorName],0)),"")</f>
        <v/>
      </c>
      <c r="E54" s="38" t="inlineStr">
        <is>
          <t>Mortgage</t>
        </is>
      </c>
      <c r="F54" s="38">
        <f>IFERROR(INDEX(Dim_Category[CategoryID],MATCH($E54,Dim_Category[CategoryName],0)),"")</f>
        <v/>
      </c>
      <c r="G54" s="38" t="inlineStr">
        <is>
          <t>Checking</t>
        </is>
      </c>
      <c r="H54" s="38">
        <f>IFERROR(INDEX(Dim_Account[AccountID],MATCH($G54,Dim_Account[AccountName],0)),"")</f>
        <v/>
      </c>
      <c r="I54" s="38" t="inlineStr">
        <is>
          <t>ACH</t>
        </is>
      </c>
      <c r="J54" s="38">
        <f>IFERROR(INDEX(Dim_PaymentMethod[PaymentMethodID],MATCH($I54,Dim_PaymentMethod[MethodName],0)),"")</f>
        <v/>
      </c>
      <c r="K54" s="40" t="n">
        <v>2056.4</v>
      </c>
      <c r="L54" s="38" t="inlineStr">
        <is>
          <t>Need</t>
        </is>
      </c>
      <c r="M54" s="38" t="inlineStr">
        <is>
          <t>Yes</t>
        </is>
      </c>
      <c r="N54" s="38" t="inlineStr">
        <is>
          <t>Monthly mortgage payment</t>
        </is>
      </c>
      <c r="O54" s="38" t="n"/>
      <c r="P54" s="40">
        <f>IF(AND($B54&gt;=CurMonthStart,$B54&lt;=CurMonthEnd),$K54,0)</f>
        <v/>
      </c>
    </row>
    <row r="55">
      <c r="A55" s="38">
        <f>ROW()-5</f>
        <v/>
      </c>
      <c r="B55" s="39" t="n">
        <v>45967</v>
      </c>
      <c r="C55" s="38" t="inlineStr">
        <is>
          <t>Whole Foods</t>
        </is>
      </c>
      <c r="D55" s="38">
        <f>IFERROR(INDEX(Dim_Vendor[VendorID],MATCH($C55,Dim_Vendor[VendorName],0)),"")</f>
        <v/>
      </c>
      <c r="E55" s="38" t="inlineStr">
        <is>
          <t>Groceries</t>
        </is>
      </c>
      <c r="F55" s="38">
        <f>IFERROR(INDEX(Dim_Category[CategoryID],MATCH($E55,Dim_Category[CategoryName],0)),"")</f>
        <v/>
      </c>
      <c r="G55" s="38" t="inlineStr">
        <is>
          <t>Credit Card</t>
        </is>
      </c>
      <c r="H55" s="38">
        <f>IFERROR(INDEX(Dim_Account[AccountID],MATCH($G55,Dim_Account[AccountName],0)),"")</f>
        <v/>
      </c>
      <c r="I55" s="38" t="inlineStr">
        <is>
          <t>Credit Card</t>
        </is>
      </c>
      <c r="J55" s="38">
        <f>IFERROR(INDEX(Dim_PaymentMethod[PaymentMethodID],MATCH($I55,Dim_PaymentMethod[MethodName],0)),"")</f>
        <v/>
      </c>
      <c r="K55" s="40" t="n">
        <v>180.14</v>
      </c>
      <c r="L55" s="38" t="inlineStr">
        <is>
          <t>Need</t>
        </is>
      </c>
      <c r="M55" s="38" t="inlineStr">
        <is>
          <t>No</t>
        </is>
      </c>
      <c r="N55" s="38" t="inlineStr"/>
      <c r="O55" s="38" t="n"/>
      <c r="P55" s="40">
        <f>IF(AND($B55&gt;=CurMonthStart,$B55&lt;=CurMonthEnd),$K55,0)</f>
        <v/>
      </c>
    </row>
    <row r="56">
      <c r="A56" s="38">
        <f>ROW()-5</f>
        <v/>
      </c>
      <c r="B56" s="39" t="n">
        <v>45970</v>
      </c>
      <c r="C56" s="38" t="inlineStr">
        <is>
          <t>Costco</t>
        </is>
      </c>
      <c r="D56" s="38">
        <f>IFERROR(INDEX(Dim_Vendor[VendorID],MATCH($C56,Dim_Vendor[VendorName],0)),"")</f>
        <v/>
      </c>
      <c r="E56" s="38" t="inlineStr">
        <is>
          <t>Groceries</t>
        </is>
      </c>
      <c r="F56" s="38">
        <f>IFERROR(INDEX(Dim_Category[CategoryID],MATCH($E56,Dim_Category[CategoryName],0)),"")</f>
        <v/>
      </c>
      <c r="G56" s="38" t="inlineStr">
        <is>
          <t>Credit Card</t>
        </is>
      </c>
      <c r="H56" s="38">
        <f>IFERROR(INDEX(Dim_Account[AccountID],MATCH($G56,Dim_Account[AccountName],0)),"")</f>
        <v/>
      </c>
      <c r="I56" s="38" t="inlineStr">
        <is>
          <t>Credit Card</t>
        </is>
      </c>
      <c r="J56" s="38">
        <f>IFERROR(INDEX(Dim_PaymentMethod[PaymentMethodID],MATCH($I56,Dim_PaymentMethod[MethodName],0)),"")</f>
        <v/>
      </c>
      <c r="K56" s="40" t="n">
        <v>228.62</v>
      </c>
      <c r="L56" s="38" t="inlineStr">
        <is>
          <t>Need</t>
        </is>
      </c>
      <c r="M56" s="38" t="inlineStr">
        <is>
          <t>No</t>
        </is>
      </c>
      <c r="N56" s="38" t="inlineStr">
        <is>
          <t>Bulk groceries</t>
        </is>
      </c>
      <c r="O56" s="38" t="n"/>
      <c r="P56" s="40">
        <f>IF(AND($B56&gt;=CurMonthStart,$B56&lt;=CurMonthEnd),$K56,0)</f>
        <v/>
      </c>
    </row>
    <row r="57">
      <c r="A57" s="38">
        <f>ROW()-5</f>
        <v/>
      </c>
      <c r="B57" s="39" t="n">
        <v>45973</v>
      </c>
      <c r="C57" s="38" t="inlineStr">
        <is>
          <t>Shell Gas Station</t>
        </is>
      </c>
      <c r="D57" s="38">
        <f>IFERROR(INDEX(Dim_Vendor[VendorID],MATCH($C57,Dim_Vendor[VendorName],0)),"")</f>
        <v/>
      </c>
      <c r="E57" s="38" t="inlineStr">
        <is>
          <t>Car</t>
        </is>
      </c>
      <c r="F57" s="38">
        <f>IFERROR(INDEX(Dim_Category[CategoryID],MATCH($E57,Dim_Category[CategoryName],0)),"")</f>
        <v/>
      </c>
      <c r="G57" s="38" t="inlineStr">
        <is>
          <t>Credit Card</t>
        </is>
      </c>
      <c r="H57" s="38">
        <f>IFERROR(INDEX(Dim_Account[AccountID],MATCH($G57,Dim_Account[AccountName],0)),"")</f>
        <v/>
      </c>
      <c r="I57" s="38" t="inlineStr">
        <is>
          <t>Credit Card</t>
        </is>
      </c>
      <c r="J57" s="38">
        <f>IFERROR(INDEX(Dim_PaymentMethod[PaymentMethodID],MATCH($I57,Dim_PaymentMethod[MethodName],0)),"")</f>
        <v/>
      </c>
      <c r="K57" s="40" t="n">
        <v>50.06</v>
      </c>
      <c r="L57" s="38" t="inlineStr">
        <is>
          <t>Need</t>
        </is>
      </c>
      <c r="M57" s="38" t="inlineStr">
        <is>
          <t>No</t>
        </is>
      </c>
      <c r="N57" s="38" t="inlineStr">
        <is>
          <t>Gas</t>
        </is>
      </c>
      <c r="O57" s="38" t="n"/>
      <c r="P57" s="40">
        <f>IF(AND($B57&gt;=CurMonthStart,$B57&lt;=CurMonthEnd),$K57,0)</f>
        <v/>
      </c>
    </row>
    <row r="58">
      <c r="A58" s="38">
        <f>ROW()-5</f>
        <v/>
      </c>
      <c r="B58" s="39" t="n">
        <v>45976</v>
      </c>
      <c r="C58" s="38" t="inlineStr">
        <is>
          <t>AutoZone</t>
        </is>
      </c>
      <c r="D58" s="38">
        <f>IFERROR(INDEX(Dim_Vendor[VendorID],MATCH($C58,Dim_Vendor[VendorName],0)),"")</f>
        <v/>
      </c>
      <c r="E58" s="38" t="inlineStr">
        <is>
          <t>Car</t>
        </is>
      </c>
      <c r="F58" s="38">
        <f>IFERROR(INDEX(Dim_Category[CategoryID],MATCH($E58,Dim_Category[CategoryName],0)),"")</f>
        <v/>
      </c>
      <c r="G58" s="38" t="inlineStr">
        <is>
          <t>Credit Card</t>
        </is>
      </c>
      <c r="H58" s="38">
        <f>IFERROR(INDEX(Dim_Account[AccountID],MATCH($G58,Dim_Account[AccountName],0)),"")</f>
        <v/>
      </c>
      <c r="I58" s="38" t="inlineStr">
        <is>
          <t>Credit Card</t>
        </is>
      </c>
      <c r="J58" s="38">
        <f>IFERROR(INDEX(Dim_PaymentMethod[PaymentMethodID],MATCH($I58,Dim_PaymentMethod[MethodName],0)),"")</f>
        <v/>
      </c>
      <c r="K58" s="40" t="n">
        <v>36.28</v>
      </c>
      <c r="L58" s="38" t="inlineStr">
        <is>
          <t>Need</t>
        </is>
      </c>
      <c r="M58" s="38" t="inlineStr">
        <is>
          <t>No</t>
        </is>
      </c>
      <c r="N58" s="38" t="inlineStr">
        <is>
          <t>Wiper blades / oil</t>
        </is>
      </c>
      <c r="O58" s="38" t="n"/>
      <c r="P58" s="40">
        <f>IF(AND($B58&gt;=CurMonthStart,$B58&lt;=CurMonthEnd),$K58,0)</f>
        <v/>
      </c>
    </row>
    <row r="59">
      <c r="A59" s="38">
        <f>ROW()-5</f>
        <v/>
      </c>
      <c r="B59" s="39" t="n">
        <v>45979</v>
      </c>
      <c r="C59" s="38" t="inlineStr">
        <is>
          <t>City Electric Co</t>
        </is>
      </c>
      <c r="D59" s="38">
        <f>IFERROR(INDEX(Dim_Vendor[VendorID],MATCH($C59,Dim_Vendor[VendorName],0)),"")</f>
        <v/>
      </c>
      <c r="E59" s="38" t="inlineStr">
        <is>
          <t>Utilities</t>
        </is>
      </c>
      <c r="F59" s="38">
        <f>IFERROR(INDEX(Dim_Category[CategoryID],MATCH($E59,Dim_Category[CategoryName],0)),"")</f>
        <v/>
      </c>
      <c r="G59" s="38" t="inlineStr">
        <is>
          <t>Checking</t>
        </is>
      </c>
      <c r="H59" s="38">
        <f>IFERROR(INDEX(Dim_Account[AccountID],MATCH($G59,Dim_Account[AccountName],0)),"")</f>
        <v/>
      </c>
      <c r="I59" s="38" t="inlineStr">
        <is>
          <t>ACH</t>
        </is>
      </c>
      <c r="J59" s="38">
        <f>IFERROR(INDEX(Dim_PaymentMethod[PaymentMethodID],MATCH($I59,Dim_PaymentMethod[MethodName],0)),"")</f>
        <v/>
      </c>
      <c r="K59" s="40" t="n">
        <v>124.03</v>
      </c>
      <c r="L59" s="38" t="inlineStr">
        <is>
          <t>Need</t>
        </is>
      </c>
      <c r="M59" s="38" t="inlineStr">
        <is>
          <t>Yes</t>
        </is>
      </c>
      <c r="N59" s="38" t="inlineStr"/>
      <c r="O59" s="38" t="n"/>
      <c r="P59" s="40">
        <f>IF(AND($B59&gt;=CurMonthStart,$B59&lt;=CurMonthEnd),$K59,0)</f>
        <v/>
      </c>
    </row>
    <row r="60">
      <c r="A60" s="38">
        <f>ROW()-5</f>
        <v/>
      </c>
      <c r="B60" s="39" t="n">
        <v>45982</v>
      </c>
      <c r="C60" s="38" t="inlineStr">
        <is>
          <t>Comcast Xfinity</t>
        </is>
      </c>
      <c r="D60" s="38">
        <f>IFERROR(INDEX(Dim_Vendor[VendorID],MATCH($C60,Dim_Vendor[VendorName],0)),"")</f>
        <v/>
      </c>
      <c r="E60" s="38" t="inlineStr">
        <is>
          <t>Utilities</t>
        </is>
      </c>
      <c r="F60" s="38">
        <f>IFERROR(INDEX(Dim_Category[CategoryID],MATCH($E60,Dim_Category[CategoryName],0)),"")</f>
        <v/>
      </c>
      <c r="G60" s="38" t="inlineStr">
        <is>
          <t>Checking</t>
        </is>
      </c>
      <c r="H60" s="38">
        <f>IFERROR(INDEX(Dim_Account[AccountID],MATCH($G60,Dim_Account[AccountName],0)),"")</f>
        <v/>
      </c>
      <c r="I60" s="38" t="inlineStr">
        <is>
          <t>ACH</t>
        </is>
      </c>
      <c r="J60" s="38">
        <f>IFERROR(INDEX(Dim_PaymentMethod[PaymentMethodID],MATCH($I60,Dim_PaymentMethod[MethodName],0)),"")</f>
        <v/>
      </c>
      <c r="K60" s="40" t="n">
        <v>81.73</v>
      </c>
      <c r="L60" s="38" t="inlineStr">
        <is>
          <t>Need</t>
        </is>
      </c>
      <c r="M60" s="38" t="inlineStr">
        <is>
          <t>Yes</t>
        </is>
      </c>
      <c r="N60" s="38" t="inlineStr">
        <is>
          <t>Internet</t>
        </is>
      </c>
      <c r="O60" s="38" t="n"/>
      <c r="P60" s="40">
        <f>IF(AND($B60&gt;=CurMonthStart,$B60&lt;=CurMonthEnd),$K60,0)</f>
        <v/>
      </c>
    </row>
    <row r="61">
      <c r="A61" s="38">
        <f>ROW()-5</f>
        <v/>
      </c>
      <c r="B61" s="39" t="n">
        <v>45985</v>
      </c>
      <c r="C61" s="38" t="inlineStr">
        <is>
          <t>Verizon Wireless</t>
        </is>
      </c>
      <c r="D61" s="38">
        <f>IFERROR(INDEX(Dim_Vendor[VendorID],MATCH($C61,Dim_Vendor[VendorName],0)),"")</f>
        <v/>
      </c>
      <c r="E61" s="38" t="inlineStr">
        <is>
          <t>Utilities</t>
        </is>
      </c>
      <c r="F61" s="38">
        <f>IFERROR(INDEX(Dim_Category[CategoryID],MATCH($E61,Dim_Category[CategoryName],0)),"")</f>
        <v/>
      </c>
      <c r="G61" s="38" t="inlineStr">
        <is>
          <t>Checking</t>
        </is>
      </c>
      <c r="H61" s="38">
        <f>IFERROR(INDEX(Dim_Account[AccountID],MATCH($G61,Dim_Account[AccountName],0)),"")</f>
        <v/>
      </c>
      <c r="I61" s="38" t="inlineStr">
        <is>
          <t>ACH</t>
        </is>
      </c>
      <c r="J61" s="38">
        <f>IFERROR(INDEX(Dim_PaymentMethod[PaymentMethodID],MATCH($I61,Dim_PaymentMethod[MethodName],0)),"")</f>
        <v/>
      </c>
      <c r="K61" s="40" t="n">
        <v>92.95</v>
      </c>
      <c r="L61" s="38" t="inlineStr">
        <is>
          <t>Need</t>
        </is>
      </c>
      <c r="M61" s="38" t="inlineStr">
        <is>
          <t>Yes</t>
        </is>
      </c>
      <c r="N61" s="38" t="inlineStr">
        <is>
          <t>Mobile phone</t>
        </is>
      </c>
      <c r="O61" s="38" t="n"/>
      <c r="P61" s="40">
        <f>IF(AND($B61&gt;=CurMonthStart,$B61&lt;=CurMonthEnd),$K61,0)</f>
        <v/>
      </c>
    </row>
    <row r="62">
      <c r="A62" s="38">
        <f>ROW()-5</f>
        <v/>
      </c>
      <c r="B62" s="39" t="n">
        <v>45988</v>
      </c>
      <c r="C62" s="38" t="inlineStr">
        <is>
          <t>State Farm Insurance</t>
        </is>
      </c>
      <c r="D62" s="38">
        <f>IFERROR(INDEX(Dim_Vendor[VendorID],MATCH($C62,Dim_Vendor[VendorName],0)),"")</f>
        <v/>
      </c>
      <c r="E62" s="38" t="inlineStr">
        <is>
          <t>Insurance</t>
        </is>
      </c>
      <c r="F62" s="38">
        <f>IFERROR(INDEX(Dim_Category[CategoryID],MATCH($E62,Dim_Category[CategoryName],0)),"")</f>
        <v/>
      </c>
      <c r="G62" s="38" t="inlineStr">
        <is>
          <t>Checking</t>
        </is>
      </c>
      <c r="H62" s="38">
        <f>IFERROR(INDEX(Dim_Account[AccountID],MATCH($G62,Dim_Account[AccountName],0)),"")</f>
        <v/>
      </c>
      <c r="I62" s="38" t="inlineStr">
        <is>
          <t>ACH</t>
        </is>
      </c>
      <c r="J62" s="38">
        <f>IFERROR(INDEX(Dim_PaymentMethod[PaymentMethodID],MATCH($I62,Dim_PaymentMethod[MethodName],0)),"")</f>
        <v/>
      </c>
      <c r="K62" s="40" t="n">
        <v>139.05</v>
      </c>
      <c r="L62" s="38" t="inlineStr">
        <is>
          <t>Need</t>
        </is>
      </c>
      <c r="M62" s="38" t="inlineStr">
        <is>
          <t>Yes</t>
        </is>
      </c>
      <c r="N62" s="38" t="inlineStr">
        <is>
          <t>Auto + home insurance</t>
        </is>
      </c>
      <c r="O62" s="38" t="n"/>
      <c r="P62" s="40">
        <f>IF(AND($B62&gt;=CurMonthStart,$B62&lt;=CurMonthEnd),$K62,0)</f>
        <v/>
      </c>
    </row>
    <row r="63">
      <c r="A63" s="38">
        <f>ROW()-5</f>
        <v/>
      </c>
      <c r="B63" s="39" t="n">
        <v>45964</v>
      </c>
      <c r="C63" s="38" t="inlineStr">
        <is>
          <t>Kaiser Permanente</t>
        </is>
      </c>
      <c r="D63" s="38">
        <f>IFERROR(INDEX(Dim_Vendor[VendorID],MATCH($C63,Dim_Vendor[VendorName],0)),"")</f>
        <v/>
      </c>
      <c r="E63" s="38" t="inlineStr">
        <is>
          <t>Healthcare</t>
        </is>
      </c>
      <c r="F63" s="38">
        <f>IFERROR(INDEX(Dim_Category[CategoryID],MATCH($E63,Dim_Category[CategoryName],0)),"")</f>
        <v/>
      </c>
      <c r="G63" s="38" t="inlineStr">
        <is>
          <t>Credit Card</t>
        </is>
      </c>
      <c r="H63" s="38">
        <f>IFERROR(INDEX(Dim_Account[AccountID],MATCH($G63,Dim_Account[AccountName],0)),"")</f>
        <v/>
      </c>
      <c r="I63" s="38" t="inlineStr">
        <is>
          <t>Credit Card</t>
        </is>
      </c>
      <c r="J63" s="38">
        <f>IFERROR(INDEX(Dim_PaymentMethod[PaymentMethodID],MATCH($I63,Dim_PaymentMethod[MethodName],0)),"")</f>
        <v/>
      </c>
      <c r="K63" s="40" t="n">
        <v>42.91</v>
      </c>
      <c r="L63" s="38" t="inlineStr">
        <is>
          <t>Need</t>
        </is>
      </c>
      <c r="M63" s="38" t="inlineStr">
        <is>
          <t>No</t>
        </is>
      </c>
      <c r="N63" s="38" t="inlineStr">
        <is>
          <t>Copay</t>
        </is>
      </c>
      <c r="O63" s="38" t="n"/>
      <c r="P63" s="40">
        <f>IF(AND($B63&gt;=CurMonthStart,$B63&lt;=CurMonthEnd),$K63,0)</f>
        <v/>
      </c>
    </row>
    <row r="64">
      <c r="A64" s="38">
        <f>ROW()-5</f>
        <v/>
      </c>
      <c r="B64" s="39" t="n">
        <v>45967</v>
      </c>
      <c r="C64" s="38" t="inlineStr">
        <is>
          <t>Chipotle</t>
        </is>
      </c>
      <c r="D64" s="38">
        <f>IFERROR(INDEX(Dim_Vendor[VendorID],MATCH($C64,Dim_Vendor[VendorName],0)),"")</f>
        <v/>
      </c>
      <c r="E64" s="38" t="inlineStr">
        <is>
          <t>Dining &amp; Entertainment</t>
        </is>
      </c>
      <c r="F64" s="38">
        <f>IFERROR(INDEX(Dim_Category[CategoryID],MATCH($E64,Dim_Category[CategoryName],0)),"")</f>
        <v/>
      </c>
      <c r="G64" s="38" t="inlineStr">
        <is>
          <t>Credit Card</t>
        </is>
      </c>
      <c r="H64" s="38">
        <f>IFERROR(INDEX(Dim_Account[AccountID],MATCH($G64,Dim_Account[AccountName],0)),"")</f>
        <v/>
      </c>
      <c r="I64" s="38" t="inlineStr">
        <is>
          <t>Credit Card</t>
        </is>
      </c>
      <c r="J64" s="38">
        <f>IFERROR(INDEX(Dim_PaymentMethod[PaymentMethodID],MATCH($I64,Dim_PaymentMethod[MethodName],0)),"")</f>
        <v/>
      </c>
      <c r="K64" s="40" t="n">
        <v>14.25</v>
      </c>
      <c r="L64" s="38" t="inlineStr">
        <is>
          <t>Want</t>
        </is>
      </c>
      <c r="M64" s="38" t="inlineStr">
        <is>
          <t>No</t>
        </is>
      </c>
      <c r="N64" s="38" t="inlineStr"/>
      <c r="O64" s="38" t="n"/>
      <c r="P64" s="40">
        <f>IF(AND($B64&gt;=CurMonthStart,$B64&lt;=CurMonthEnd),$K64,0)</f>
        <v/>
      </c>
    </row>
    <row r="65">
      <c r="A65" s="38">
        <f>ROW()-5</f>
        <v/>
      </c>
      <c r="B65" s="39" t="n">
        <v>45970</v>
      </c>
      <c r="C65" s="38" t="inlineStr">
        <is>
          <t>Netflix</t>
        </is>
      </c>
      <c r="D65" s="38">
        <f>IFERROR(INDEX(Dim_Vendor[VendorID],MATCH($C65,Dim_Vendor[VendorName],0)),"")</f>
        <v/>
      </c>
      <c r="E65" s="38" t="inlineStr">
        <is>
          <t>Dining &amp; Entertainment</t>
        </is>
      </c>
      <c r="F65" s="38">
        <f>IFERROR(INDEX(Dim_Category[CategoryID],MATCH($E65,Dim_Category[CategoryName],0)),"")</f>
        <v/>
      </c>
      <c r="G65" s="38" t="inlineStr">
        <is>
          <t>Credit Card</t>
        </is>
      </c>
      <c r="H65" s="38">
        <f>IFERROR(INDEX(Dim_Account[AccountID],MATCH($G65,Dim_Account[AccountName],0)),"")</f>
        <v/>
      </c>
      <c r="I65" s="38" t="inlineStr">
        <is>
          <t>Credit Card</t>
        </is>
      </c>
      <c r="J65" s="38">
        <f>IFERROR(INDEX(Dim_PaymentMethod[PaymentMethodID],MATCH($I65,Dim_PaymentMethod[MethodName],0)),"")</f>
        <v/>
      </c>
      <c r="K65" s="40" t="n">
        <v>15.49</v>
      </c>
      <c r="L65" s="38" t="inlineStr">
        <is>
          <t>Want</t>
        </is>
      </c>
      <c r="M65" s="38" t="inlineStr">
        <is>
          <t>Yes</t>
        </is>
      </c>
      <c r="N65" s="38" t="inlineStr">
        <is>
          <t>Streaming subscription</t>
        </is>
      </c>
      <c r="O65" s="38" t="n"/>
      <c r="P65" s="40">
        <f>IF(AND($B65&gt;=CurMonthStart,$B65&lt;=CurMonthEnd),$K65,0)</f>
        <v/>
      </c>
    </row>
    <row r="66">
      <c r="A66" s="38">
        <f>ROW()-5</f>
        <v/>
      </c>
      <c r="B66" s="39" t="n">
        <v>45973</v>
      </c>
      <c r="C66" s="38" t="inlineStr">
        <is>
          <t>AMC Theatres</t>
        </is>
      </c>
      <c r="D66" s="38">
        <f>IFERROR(INDEX(Dim_Vendor[VendorID],MATCH($C66,Dim_Vendor[VendorName],0)),"")</f>
        <v/>
      </c>
      <c r="E66" s="38" t="inlineStr">
        <is>
          <t>Dining &amp; Entertainment</t>
        </is>
      </c>
      <c r="F66" s="38">
        <f>IFERROR(INDEX(Dim_Category[CategoryID],MATCH($E66,Dim_Category[CategoryName],0)),"")</f>
        <v/>
      </c>
      <c r="G66" s="38" t="inlineStr">
        <is>
          <t>Credit Card</t>
        </is>
      </c>
      <c r="H66" s="38">
        <f>IFERROR(INDEX(Dim_Account[AccountID],MATCH($G66,Dim_Account[AccountName],0)),"")</f>
        <v/>
      </c>
      <c r="I66" s="38" t="inlineStr">
        <is>
          <t>Credit Card</t>
        </is>
      </c>
      <c r="J66" s="38">
        <f>IFERROR(INDEX(Dim_PaymentMethod[PaymentMethodID],MATCH($I66,Dim_PaymentMethod[MethodName],0)),"")</f>
        <v/>
      </c>
      <c r="K66" s="40" t="n">
        <v>30.81</v>
      </c>
      <c r="L66" s="38" t="inlineStr">
        <is>
          <t>Want</t>
        </is>
      </c>
      <c r="M66" s="38" t="inlineStr">
        <is>
          <t>No</t>
        </is>
      </c>
      <c r="N66" s="38" t="inlineStr"/>
      <c r="O66" s="38" t="n"/>
      <c r="P66" s="40">
        <f>IF(AND($B66&gt;=CurMonthStart,$B66&lt;=CurMonthEnd),$K66,0)</f>
        <v/>
      </c>
    </row>
    <row r="67">
      <c r="A67" s="38">
        <f>ROW()-5</f>
        <v/>
      </c>
      <c r="B67" s="39" t="n">
        <v>45976</v>
      </c>
      <c r="C67" s="38" t="inlineStr">
        <is>
          <t>Planet Fitness</t>
        </is>
      </c>
      <c r="D67" s="38">
        <f>IFERROR(INDEX(Dim_Vendor[VendorID],MATCH($C67,Dim_Vendor[VendorName],0)),"")</f>
        <v/>
      </c>
      <c r="E67" s="38" t="inlineStr">
        <is>
          <t>Personal Care</t>
        </is>
      </c>
      <c r="F67" s="38">
        <f>IFERROR(INDEX(Dim_Category[CategoryID],MATCH($E67,Dim_Category[CategoryName],0)),"")</f>
        <v/>
      </c>
      <c r="G67" s="38" t="inlineStr">
        <is>
          <t>Checking</t>
        </is>
      </c>
      <c r="H67" s="38">
        <f>IFERROR(INDEX(Dim_Account[AccountID],MATCH($G67,Dim_Account[AccountName],0)),"")</f>
        <v/>
      </c>
      <c r="I67" s="38" t="inlineStr">
        <is>
          <t>ACH</t>
        </is>
      </c>
      <c r="J67" s="38">
        <f>IFERROR(INDEX(Dim_PaymentMethod[PaymentMethodID],MATCH($I67,Dim_PaymentMethod[MethodName],0)),"")</f>
        <v/>
      </c>
      <c r="K67" s="40" t="n">
        <v>26.74</v>
      </c>
      <c r="L67" s="38" t="inlineStr">
        <is>
          <t>Want</t>
        </is>
      </c>
      <c r="M67" s="38" t="inlineStr">
        <is>
          <t>Yes</t>
        </is>
      </c>
      <c r="N67" s="38" t="inlineStr">
        <is>
          <t>Gym membership</t>
        </is>
      </c>
      <c r="O67" s="38" t="n"/>
      <c r="P67" s="40">
        <f>IF(AND($B67&gt;=CurMonthStart,$B67&lt;=CurMonthEnd),$K67,0)</f>
        <v/>
      </c>
    </row>
    <row r="68">
      <c r="A68" s="38">
        <f>ROW()-5</f>
        <v/>
      </c>
      <c r="B68" s="39" t="n">
        <v>45979</v>
      </c>
      <c r="C68" s="38" t="inlineStr">
        <is>
          <t>Amazon</t>
        </is>
      </c>
      <c r="D68" s="38">
        <f>IFERROR(INDEX(Dim_Vendor[VendorID],MATCH($C68,Dim_Vendor[VendorName],0)),"")</f>
        <v/>
      </c>
      <c r="E68" s="38" t="inlineStr">
        <is>
          <t>Shopping</t>
        </is>
      </c>
      <c r="F68" s="38">
        <f>IFERROR(INDEX(Dim_Category[CategoryID],MATCH($E68,Dim_Category[CategoryName],0)),"")</f>
        <v/>
      </c>
      <c r="G68" s="38" t="inlineStr">
        <is>
          <t>Credit Card</t>
        </is>
      </c>
      <c r="H68" s="38">
        <f>IFERROR(INDEX(Dim_Account[AccountID],MATCH($G68,Dim_Account[AccountName],0)),"")</f>
        <v/>
      </c>
      <c r="I68" s="38" t="inlineStr">
        <is>
          <t>Credit Card</t>
        </is>
      </c>
      <c r="J68" s="38">
        <f>IFERROR(INDEX(Dim_PaymentMethod[PaymentMethodID],MATCH($I68,Dim_PaymentMethod[MethodName],0)),"")</f>
        <v/>
      </c>
      <c r="K68" s="40" t="n">
        <v>70.09</v>
      </c>
      <c r="L68" s="38" t="inlineStr">
        <is>
          <t>Want</t>
        </is>
      </c>
      <c r="M68" s="38" t="inlineStr">
        <is>
          <t>No</t>
        </is>
      </c>
      <c r="N68" s="38" t="inlineStr"/>
      <c r="O68" s="38" t="n"/>
      <c r="P68" s="40">
        <f>IF(AND($B68&gt;=CurMonthStart,$B68&lt;=CurMonthEnd),$K68,0)</f>
        <v/>
      </c>
    </row>
    <row r="69">
      <c r="A69" s="38">
        <f>ROW()-5</f>
        <v/>
      </c>
      <c r="B69" s="39" t="n">
        <v>45982</v>
      </c>
      <c r="C69" s="38" t="inlineStr">
        <is>
          <t>Target</t>
        </is>
      </c>
      <c r="D69" s="38">
        <f>IFERROR(INDEX(Dim_Vendor[VendorID],MATCH($C69,Dim_Vendor[VendorName],0)),"")</f>
        <v/>
      </c>
      <c r="E69" s="38" t="inlineStr">
        <is>
          <t>Shopping</t>
        </is>
      </c>
      <c r="F69" s="38">
        <f>IFERROR(INDEX(Dim_Category[CategoryID],MATCH($E69,Dim_Category[CategoryName],0)),"")</f>
        <v/>
      </c>
      <c r="G69" s="38" t="inlineStr">
        <is>
          <t>Credit Card</t>
        </is>
      </c>
      <c r="H69" s="38">
        <f>IFERROR(INDEX(Dim_Account[AccountID],MATCH($G69,Dim_Account[AccountName],0)),"")</f>
        <v/>
      </c>
      <c r="I69" s="38" t="inlineStr">
        <is>
          <t>Credit Card</t>
        </is>
      </c>
      <c r="J69" s="38">
        <f>IFERROR(INDEX(Dim_PaymentMethod[PaymentMethodID],MATCH($I69,Dim_PaymentMethod[MethodName],0)),"")</f>
        <v/>
      </c>
      <c r="K69" s="40" t="n">
        <v>55.27</v>
      </c>
      <c r="L69" s="38" t="inlineStr">
        <is>
          <t>Want</t>
        </is>
      </c>
      <c r="M69" s="38" t="inlineStr">
        <is>
          <t>No</t>
        </is>
      </c>
      <c r="N69" s="38" t="inlineStr"/>
      <c r="O69" s="38" t="n"/>
      <c r="P69" s="40">
        <f>IF(AND($B69&gt;=CurMonthStart,$B69&lt;=CurMonthEnd),$K69,0)</f>
        <v/>
      </c>
    </row>
    <row r="70">
      <c r="A70" s="38">
        <f>ROW()-5</f>
        <v/>
      </c>
      <c r="B70" s="39" t="n">
        <v>45994</v>
      </c>
      <c r="C70" s="38" t="inlineStr">
        <is>
          <t>Mortgage Lender</t>
        </is>
      </c>
      <c r="D70" s="38">
        <f>IFERROR(INDEX(Dim_Vendor[VendorID],MATCH($C70,Dim_Vendor[VendorName],0)),"")</f>
        <v/>
      </c>
      <c r="E70" s="38" t="inlineStr">
        <is>
          <t>Mortgage</t>
        </is>
      </c>
      <c r="F70" s="38">
        <f>IFERROR(INDEX(Dim_Category[CategoryID],MATCH($E70,Dim_Category[CategoryName],0)),"")</f>
        <v/>
      </c>
      <c r="G70" s="38" t="inlineStr">
        <is>
          <t>Checking</t>
        </is>
      </c>
      <c r="H70" s="38">
        <f>IFERROR(INDEX(Dim_Account[AccountID],MATCH($G70,Dim_Account[AccountName],0)),"")</f>
        <v/>
      </c>
      <c r="I70" s="38" t="inlineStr">
        <is>
          <t>ACH</t>
        </is>
      </c>
      <c r="J70" s="38">
        <f>IFERROR(INDEX(Dim_PaymentMethod[PaymentMethodID],MATCH($I70,Dim_PaymentMethod[MethodName],0)),"")</f>
        <v/>
      </c>
      <c r="K70" s="40" t="n">
        <v>2036.87</v>
      </c>
      <c r="L70" s="38" t="inlineStr">
        <is>
          <t>Need</t>
        </is>
      </c>
      <c r="M70" s="38" t="inlineStr">
        <is>
          <t>Yes</t>
        </is>
      </c>
      <c r="N70" s="38" t="inlineStr">
        <is>
          <t>Monthly mortgage payment</t>
        </is>
      </c>
      <c r="O70" s="38" t="n"/>
      <c r="P70" s="40">
        <f>IF(AND($B70&gt;=CurMonthStart,$B70&lt;=CurMonthEnd),$K70,0)</f>
        <v/>
      </c>
    </row>
    <row r="71">
      <c r="A71" s="38">
        <f>ROW()-5</f>
        <v/>
      </c>
      <c r="B71" s="39" t="n">
        <v>45997</v>
      </c>
      <c r="C71" s="38" t="inlineStr">
        <is>
          <t>Whole Foods</t>
        </is>
      </c>
      <c r="D71" s="38">
        <f>IFERROR(INDEX(Dim_Vendor[VendorID],MATCH($C71,Dim_Vendor[VendorName],0)),"")</f>
        <v/>
      </c>
      <c r="E71" s="38" t="inlineStr">
        <is>
          <t>Groceries</t>
        </is>
      </c>
      <c r="F71" s="38">
        <f>IFERROR(INDEX(Dim_Category[CategoryID],MATCH($E71,Dim_Category[CategoryName],0)),"")</f>
        <v/>
      </c>
      <c r="G71" s="38" t="inlineStr">
        <is>
          <t>Credit Card</t>
        </is>
      </c>
      <c r="H71" s="38">
        <f>IFERROR(INDEX(Dim_Account[AccountID],MATCH($G71,Dim_Account[AccountName],0)),"")</f>
        <v/>
      </c>
      <c r="I71" s="38" t="inlineStr">
        <is>
          <t>Credit Card</t>
        </is>
      </c>
      <c r="J71" s="38">
        <f>IFERROR(INDEX(Dim_PaymentMethod[PaymentMethodID],MATCH($I71,Dim_PaymentMethod[MethodName],0)),"")</f>
        <v/>
      </c>
      <c r="K71" s="40" t="n">
        <v>193.25</v>
      </c>
      <c r="L71" s="38" t="inlineStr">
        <is>
          <t>Need</t>
        </is>
      </c>
      <c r="M71" s="38" t="inlineStr">
        <is>
          <t>No</t>
        </is>
      </c>
      <c r="N71" s="38" t="inlineStr"/>
      <c r="O71" s="38" t="n"/>
      <c r="P71" s="40">
        <f>IF(AND($B71&gt;=CurMonthStart,$B71&lt;=CurMonthEnd),$K71,0)</f>
        <v/>
      </c>
    </row>
    <row r="72">
      <c r="A72" s="38">
        <f>ROW()-5</f>
        <v/>
      </c>
      <c r="B72" s="39" t="n">
        <v>46000</v>
      </c>
      <c r="C72" s="38" t="inlineStr">
        <is>
          <t>Costco</t>
        </is>
      </c>
      <c r="D72" s="38">
        <f>IFERROR(INDEX(Dim_Vendor[VendorID],MATCH($C72,Dim_Vendor[VendorName],0)),"")</f>
        <v/>
      </c>
      <c r="E72" s="38" t="inlineStr">
        <is>
          <t>Groceries</t>
        </is>
      </c>
      <c r="F72" s="38">
        <f>IFERROR(INDEX(Dim_Category[CategoryID],MATCH($E72,Dim_Category[CategoryName],0)),"")</f>
        <v/>
      </c>
      <c r="G72" s="38" t="inlineStr">
        <is>
          <t>Credit Card</t>
        </is>
      </c>
      <c r="H72" s="38">
        <f>IFERROR(INDEX(Dim_Account[AccountID],MATCH($G72,Dim_Account[AccountName],0)),"")</f>
        <v/>
      </c>
      <c r="I72" s="38" t="inlineStr">
        <is>
          <t>Credit Card</t>
        </is>
      </c>
      <c r="J72" s="38">
        <f>IFERROR(INDEX(Dim_PaymentMethod[PaymentMethodID],MATCH($I72,Dim_PaymentMethod[MethodName],0)),"")</f>
        <v/>
      </c>
      <c r="K72" s="40" t="n">
        <v>231.9</v>
      </c>
      <c r="L72" s="38" t="inlineStr">
        <is>
          <t>Need</t>
        </is>
      </c>
      <c r="M72" s="38" t="inlineStr">
        <is>
          <t>No</t>
        </is>
      </c>
      <c r="N72" s="38" t="inlineStr">
        <is>
          <t>Bulk groceries</t>
        </is>
      </c>
      <c r="O72" s="38" t="n"/>
      <c r="P72" s="40">
        <f>IF(AND($B72&gt;=CurMonthStart,$B72&lt;=CurMonthEnd),$K72,0)</f>
        <v/>
      </c>
    </row>
    <row r="73">
      <c r="A73" s="38">
        <f>ROW()-5</f>
        <v/>
      </c>
      <c r="B73" s="39" t="n">
        <v>46003</v>
      </c>
      <c r="C73" s="38" t="inlineStr">
        <is>
          <t>Shell Gas Station</t>
        </is>
      </c>
      <c r="D73" s="38">
        <f>IFERROR(INDEX(Dim_Vendor[VendorID],MATCH($C73,Dim_Vendor[VendorName],0)),"")</f>
        <v/>
      </c>
      <c r="E73" s="38" t="inlineStr">
        <is>
          <t>Car</t>
        </is>
      </c>
      <c r="F73" s="38">
        <f>IFERROR(INDEX(Dim_Category[CategoryID],MATCH($E73,Dim_Category[CategoryName],0)),"")</f>
        <v/>
      </c>
      <c r="G73" s="38" t="inlineStr">
        <is>
          <t>Credit Card</t>
        </is>
      </c>
      <c r="H73" s="38">
        <f>IFERROR(INDEX(Dim_Account[AccountID],MATCH($G73,Dim_Account[AccountName],0)),"")</f>
        <v/>
      </c>
      <c r="I73" s="38" t="inlineStr">
        <is>
          <t>Credit Card</t>
        </is>
      </c>
      <c r="J73" s="38">
        <f>IFERROR(INDEX(Dim_PaymentMethod[PaymentMethodID],MATCH($I73,Dim_PaymentMethod[MethodName],0)),"")</f>
        <v/>
      </c>
      <c r="K73" s="40" t="n">
        <v>51.29</v>
      </c>
      <c r="L73" s="38" t="inlineStr">
        <is>
          <t>Need</t>
        </is>
      </c>
      <c r="M73" s="38" t="inlineStr">
        <is>
          <t>No</t>
        </is>
      </c>
      <c r="N73" s="38" t="inlineStr">
        <is>
          <t>Gas</t>
        </is>
      </c>
      <c r="O73" s="38" t="n"/>
      <c r="P73" s="40">
        <f>IF(AND($B73&gt;=CurMonthStart,$B73&lt;=CurMonthEnd),$K73,0)</f>
        <v/>
      </c>
    </row>
    <row r="74">
      <c r="A74" s="38">
        <f>ROW()-5</f>
        <v/>
      </c>
      <c r="B74" s="39" t="n">
        <v>46006</v>
      </c>
      <c r="C74" s="38" t="inlineStr">
        <is>
          <t>AutoZone</t>
        </is>
      </c>
      <c r="D74" s="38">
        <f>IFERROR(INDEX(Dim_Vendor[VendorID],MATCH($C74,Dim_Vendor[VendorName],0)),"")</f>
        <v/>
      </c>
      <c r="E74" s="38" t="inlineStr">
        <is>
          <t>Car</t>
        </is>
      </c>
      <c r="F74" s="38">
        <f>IFERROR(INDEX(Dim_Category[CategoryID],MATCH($E74,Dim_Category[CategoryName],0)),"")</f>
        <v/>
      </c>
      <c r="G74" s="38" t="inlineStr">
        <is>
          <t>Credit Card</t>
        </is>
      </c>
      <c r="H74" s="38">
        <f>IFERROR(INDEX(Dim_Account[AccountID],MATCH($G74,Dim_Account[AccountName],0)),"")</f>
        <v/>
      </c>
      <c r="I74" s="38" t="inlineStr">
        <is>
          <t>Credit Card</t>
        </is>
      </c>
      <c r="J74" s="38">
        <f>IFERROR(INDEX(Dim_PaymentMethod[PaymentMethodID],MATCH($I74,Dim_PaymentMethod[MethodName],0)),"")</f>
        <v/>
      </c>
      <c r="K74" s="40" t="n">
        <v>41.79</v>
      </c>
      <c r="L74" s="38" t="inlineStr">
        <is>
          <t>Need</t>
        </is>
      </c>
      <c r="M74" s="38" t="inlineStr">
        <is>
          <t>No</t>
        </is>
      </c>
      <c r="N74" s="38" t="inlineStr">
        <is>
          <t>Wiper blades / oil</t>
        </is>
      </c>
      <c r="O74" s="38" t="n"/>
      <c r="P74" s="40">
        <f>IF(AND($B74&gt;=CurMonthStart,$B74&lt;=CurMonthEnd),$K74,0)</f>
        <v/>
      </c>
    </row>
    <row r="75">
      <c r="A75" s="38">
        <f>ROW()-5</f>
        <v/>
      </c>
      <c r="B75" s="39" t="n">
        <v>46009</v>
      </c>
      <c r="C75" s="38" t="inlineStr">
        <is>
          <t>City Electric Co</t>
        </is>
      </c>
      <c r="D75" s="38">
        <f>IFERROR(INDEX(Dim_Vendor[VendorID],MATCH($C75,Dim_Vendor[VendorName],0)),"")</f>
        <v/>
      </c>
      <c r="E75" s="38" t="inlineStr">
        <is>
          <t>Utilities</t>
        </is>
      </c>
      <c r="F75" s="38">
        <f>IFERROR(INDEX(Dim_Category[CategoryID],MATCH($E75,Dim_Category[CategoryName],0)),"")</f>
        <v/>
      </c>
      <c r="G75" s="38" t="inlineStr">
        <is>
          <t>Checking</t>
        </is>
      </c>
      <c r="H75" s="38">
        <f>IFERROR(INDEX(Dim_Account[AccountID],MATCH($G75,Dim_Account[AccountName],0)),"")</f>
        <v/>
      </c>
      <c r="I75" s="38" t="inlineStr">
        <is>
          <t>ACH</t>
        </is>
      </c>
      <c r="J75" s="38">
        <f>IFERROR(INDEX(Dim_PaymentMethod[PaymentMethodID],MATCH($I75,Dim_PaymentMethod[MethodName],0)),"")</f>
        <v/>
      </c>
      <c r="K75" s="40" t="n">
        <v>131.48</v>
      </c>
      <c r="L75" s="38" t="inlineStr">
        <is>
          <t>Need</t>
        </is>
      </c>
      <c r="M75" s="38" t="inlineStr">
        <is>
          <t>Yes</t>
        </is>
      </c>
      <c r="N75" s="38" t="inlineStr"/>
      <c r="O75" s="38" t="n"/>
      <c r="P75" s="40">
        <f>IF(AND($B75&gt;=CurMonthStart,$B75&lt;=CurMonthEnd),$K75,0)</f>
        <v/>
      </c>
    </row>
    <row r="76">
      <c r="A76" s="38">
        <f>ROW()-5</f>
        <v/>
      </c>
      <c r="B76" s="39" t="n">
        <v>46012</v>
      </c>
      <c r="C76" s="38" t="inlineStr">
        <is>
          <t>Comcast Xfinity</t>
        </is>
      </c>
      <c r="D76" s="38">
        <f>IFERROR(INDEX(Dim_Vendor[VendorID],MATCH($C76,Dim_Vendor[VendorName],0)),"")</f>
        <v/>
      </c>
      <c r="E76" s="38" t="inlineStr">
        <is>
          <t>Utilities</t>
        </is>
      </c>
      <c r="F76" s="38">
        <f>IFERROR(INDEX(Dim_Category[CategoryID],MATCH($E76,Dim_Category[CategoryName],0)),"")</f>
        <v/>
      </c>
      <c r="G76" s="38" t="inlineStr">
        <is>
          <t>Checking</t>
        </is>
      </c>
      <c r="H76" s="38">
        <f>IFERROR(INDEX(Dim_Account[AccountID],MATCH($G76,Dim_Account[AccountName],0)),"")</f>
        <v/>
      </c>
      <c r="I76" s="38" t="inlineStr">
        <is>
          <t>ACH</t>
        </is>
      </c>
      <c r="J76" s="38">
        <f>IFERROR(INDEX(Dim_PaymentMethod[PaymentMethodID],MATCH($I76,Dim_PaymentMethod[MethodName],0)),"")</f>
        <v/>
      </c>
      <c r="K76" s="40" t="n">
        <v>80.72</v>
      </c>
      <c r="L76" s="38" t="inlineStr">
        <is>
          <t>Need</t>
        </is>
      </c>
      <c r="M76" s="38" t="inlineStr">
        <is>
          <t>Yes</t>
        </is>
      </c>
      <c r="N76" s="38" t="inlineStr">
        <is>
          <t>Internet</t>
        </is>
      </c>
      <c r="O76" s="38" t="n"/>
      <c r="P76" s="40">
        <f>IF(AND($B76&gt;=CurMonthStart,$B76&lt;=CurMonthEnd),$K76,0)</f>
        <v/>
      </c>
    </row>
    <row r="77">
      <c r="A77" s="38">
        <f>ROW()-5</f>
        <v/>
      </c>
      <c r="B77" s="39" t="n">
        <v>46015</v>
      </c>
      <c r="C77" s="38" t="inlineStr">
        <is>
          <t>Verizon Wireless</t>
        </is>
      </c>
      <c r="D77" s="38">
        <f>IFERROR(INDEX(Dim_Vendor[VendorID],MATCH($C77,Dim_Vendor[VendorName],0)),"")</f>
        <v/>
      </c>
      <c r="E77" s="38" t="inlineStr">
        <is>
          <t>Utilities</t>
        </is>
      </c>
      <c r="F77" s="38">
        <f>IFERROR(INDEX(Dim_Category[CategoryID],MATCH($E77,Dim_Category[CategoryName],0)),"")</f>
        <v/>
      </c>
      <c r="G77" s="38" t="inlineStr">
        <is>
          <t>Checking</t>
        </is>
      </c>
      <c r="H77" s="38">
        <f>IFERROR(INDEX(Dim_Account[AccountID],MATCH($G77,Dim_Account[AccountName],0)),"")</f>
        <v/>
      </c>
      <c r="I77" s="38" t="inlineStr">
        <is>
          <t>ACH</t>
        </is>
      </c>
      <c r="J77" s="38">
        <f>IFERROR(INDEX(Dim_PaymentMethod[PaymentMethodID],MATCH($I77,Dim_PaymentMethod[MethodName],0)),"")</f>
        <v/>
      </c>
      <c r="K77" s="40" t="n">
        <v>97.81</v>
      </c>
      <c r="L77" s="38" t="inlineStr">
        <is>
          <t>Need</t>
        </is>
      </c>
      <c r="M77" s="38" t="inlineStr">
        <is>
          <t>Yes</t>
        </is>
      </c>
      <c r="N77" s="38" t="inlineStr">
        <is>
          <t>Mobile phone</t>
        </is>
      </c>
      <c r="O77" s="38" t="n"/>
      <c r="P77" s="40">
        <f>IF(AND($B77&gt;=CurMonthStart,$B77&lt;=CurMonthEnd),$K77,0)</f>
        <v/>
      </c>
    </row>
    <row r="78">
      <c r="A78" s="38">
        <f>ROW()-5</f>
        <v/>
      </c>
      <c r="B78" s="39" t="n">
        <v>46018</v>
      </c>
      <c r="C78" s="38" t="inlineStr">
        <is>
          <t>State Farm Insurance</t>
        </is>
      </c>
      <c r="D78" s="38">
        <f>IFERROR(INDEX(Dim_Vendor[VendorID],MATCH($C78,Dim_Vendor[VendorName],0)),"")</f>
        <v/>
      </c>
      <c r="E78" s="38" t="inlineStr">
        <is>
          <t>Insurance</t>
        </is>
      </c>
      <c r="F78" s="38">
        <f>IFERROR(INDEX(Dim_Category[CategoryID],MATCH($E78,Dim_Category[CategoryName],0)),"")</f>
        <v/>
      </c>
      <c r="G78" s="38" t="inlineStr">
        <is>
          <t>Checking</t>
        </is>
      </c>
      <c r="H78" s="38">
        <f>IFERROR(INDEX(Dim_Account[AccountID],MATCH($G78,Dim_Account[AccountName],0)),"")</f>
        <v/>
      </c>
      <c r="I78" s="38" t="inlineStr">
        <is>
          <t>ACH</t>
        </is>
      </c>
      <c r="J78" s="38">
        <f>IFERROR(INDEX(Dim_PaymentMethod[PaymentMethodID],MATCH($I78,Dim_PaymentMethod[MethodName],0)),"")</f>
        <v/>
      </c>
      <c r="K78" s="40" t="n">
        <v>149.79</v>
      </c>
      <c r="L78" s="38" t="inlineStr">
        <is>
          <t>Need</t>
        </is>
      </c>
      <c r="M78" s="38" t="inlineStr">
        <is>
          <t>Yes</t>
        </is>
      </c>
      <c r="N78" s="38" t="inlineStr">
        <is>
          <t>Auto + home insurance</t>
        </is>
      </c>
      <c r="O78" s="38" t="n"/>
      <c r="P78" s="40">
        <f>IF(AND($B78&gt;=CurMonthStart,$B78&lt;=CurMonthEnd),$K78,0)</f>
        <v/>
      </c>
    </row>
    <row r="79">
      <c r="A79" s="38">
        <f>ROW()-5</f>
        <v/>
      </c>
      <c r="B79" s="39" t="n">
        <v>45994</v>
      </c>
      <c r="C79" s="38" t="inlineStr">
        <is>
          <t>Kaiser Permanente</t>
        </is>
      </c>
      <c r="D79" s="38">
        <f>IFERROR(INDEX(Dim_Vendor[VendorID],MATCH($C79,Dim_Vendor[VendorName],0)),"")</f>
        <v/>
      </c>
      <c r="E79" s="38" t="inlineStr">
        <is>
          <t>Healthcare</t>
        </is>
      </c>
      <c r="F79" s="38">
        <f>IFERROR(INDEX(Dim_Category[CategoryID],MATCH($E79,Dim_Category[CategoryName],0)),"")</f>
        <v/>
      </c>
      <c r="G79" s="38" t="inlineStr">
        <is>
          <t>Credit Card</t>
        </is>
      </c>
      <c r="H79" s="38">
        <f>IFERROR(INDEX(Dim_Account[AccountID],MATCH($G79,Dim_Account[AccountName],0)),"")</f>
        <v/>
      </c>
      <c r="I79" s="38" t="inlineStr">
        <is>
          <t>Credit Card</t>
        </is>
      </c>
      <c r="J79" s="38">
        <f>IFERROR(INDEX(Dim_PaymentMethod[PaymentMethodID],MATCH($I79,Dim_PaymentMethod[MethodName],0)),"")</f>
        <v/>
      </c>
      <c r="K79" s="40" t="n">
        <v>46.99</v>
      </c>
      <c r="L79" s="38" t="inlineStr">
        <is>
          <t>Need</t>
        </is>
      </c>
      <c r="M79" s="38" t="inlineStr">
        <is>
          <t>No</t>
        </is>
      </c>
      <c r="N79" s="38" t="inlineStr">
        <is>
          <t>Copay</t>
        </is>
      </c>
      <c r="O79" s="38" t="n"/>
      <c r="P79" s="40">
        <f>IF(AND($B79&gt;=CurMonthStart,$B79&lt;=CurMonthEnd),$K79,0)</f>
        <v/>
      </c>
    </row>
    <row r="80">
      <c r="A80" s="38">
        <f>ROW()-5</f>
        <v/>
      </c>
      <c r="B80" s="39" t="n">
        <v>45997</v>
      </c>
      <c r="C80" s="38" t="inlineStr">
        <is>
          <t>Chipotle</t>
        </is>
      </c>
      <c r="D80" s="38">
        <f>IFERROR(INDEX(Dim_Vendor[VendorID],MATCH($C80,Dim_Vendor[VendorName],0)),"")</f>
        <v/>
      </c>
      <c r="E80" s="38" t="inlineStr">
        <is>
          <t>Dining &amp; Entertainment</t>
        </is>
      </c>
      <c r="F80" s="38">
        <f>IFERROR(INDEX(Dim_Category[CategoryID],MATCH($E80,Dim_Category[CategoryName],0)),"")</f>
        <v/>
      </c>
      <c r="G80" s="38" t="inlineStr">
        <is>
          <t>Credit Card</t>
        </is>
      </c>
      <c r="H80" s="38">
        <f>IFERROR(INDEX(Dim_Account[AccountID],MATCH($G80,Dim_Account[AccountName],0)),"")</f>
        <v/>
      </c>
      <c r="I80" s="38" t="inlineStr">
        <is>
          <t>Credit Card</t>
        </is>
      </c>
      <c r="J80" s="38">
        <f>IFERROR(INDEX(Dim_PaymentMethod[PaymentMethodID],MATCH($I80,Dim_PaymentMethod[MethodName],0)),"")</f>
        <v/>
      </c>
      <c r="K80" s="40" t="n">
        <v>14.25</v>
      </c>
      <c r="L80" s="38" t="inlineStr">
        <is>
          <t>Want</t>
        </is>
      </c>
      <c r="M80" s="38" t="inlineStr">
        <is>
          <t>No</t>
        </is>
      </c>
      <c r="N80" s="38" t="inlineStr"/>
      <c r="O80" s="38" t="n"/>
      <c r="P80" s="40">
        <f>IF(AND($B80&gt;=CurMonthStart,$B80&lt;=CurMonthEnd),$K80,0)</f>
        <v/>
      </c>
    </row>
    <row r="81">
      <c r="A81" s="38">
        <f>ROW()-5</f>
        <v/>
      </c>
      <c r="B81" s="39" t="n">
        <v>46000</v>
      </c>
      <c r="C81" s="38" t="inlineStr">
        <is>
          <t>Netflix</t>
        </is>
      </c>
      <c r="D81" s="38">
        <f>IFERROR(INDEX(Dim_Vendor[VendorID],MATCH($C81,Dim_Vendor[VendorName],0)),"")</f>
        <v/>
      </c>
      <c r="E81" s="38" t="inlineStr">
        <is>
          <t>Dining &amp; Entertainment</t>
        </is>
      </c>
      <c r="F81" s="38">
        <f>IFERROR(INDEX(Dim_Category[CategoryID],MATCH($E81,Dim_Category[CategoryName],0)),"")</f>
        <v/>
      </c>
      <c r="G81" s="38" t="inlineStr">
        <is>
          <t>Credit Card</t>
        </is>
      </c>
      <c r="H81" s="38">
        <f>IFERROR(INDEX(Dim_Account[AccountID],MATCH($G81,Dim_Account[AccountName],0)),"")</f>
        <v/>
      </c>
      <c r="I81" s="38" t="inlineStr">
        <is>
          <t>Credit Card</t>
        </is>
      </c>
      <c r="J81" s="38">
        <f>IFERROR(INDEX(Dim_PaymentMethod[PaymentMethodID],MATCH($I81,Dim_PaymentMethod[MethodName],0)),"")</f>
        <v/>
      </c>
      <c r="K81" s="40" t="n">
        <v>15.49</v>
      </c>
      <c r="L81" s="38" t="inlineStr">
        <is>
          <t>Want</t>
        </is>
      </c>
      <c r="M81" s="38" t="inlineStr">
        <is>
          <t>Yes</t>
        </is>
      </c>
      <c r="N81" s="38" t="inlineStr">
        <is>
          <t>Streaming subscription</t>
        </is>
      </c>
      <c r="O81" s="38" t="n"/>
      <c r="P81" s="40">
        <f>IF(AND($B81&gt;=CurMonthStart,$B81&lt;=CurMonthEnd),$K81,0)</f>
        <v/>
      </c>
    </row>
    <row r="82">
      <c r="A82" s="38">
        <f>ROW()-5</f>
        <v/>
      </c>
      <c r="B82" s="39" t="n">
        <v>46003</v>
      </c>
      <c r="C82" s="38" t="inlineStr">
        <is>
          <t>AMC Theatres</t>
        </is>
      </c>
      <c r="D82" s="38">
        <f>IFERROR(INDEX(Dim_Vendor[VendorID],MATCH($C82,Dim_Vendor[VendorName],0)),"")</f>
        <v/>
      </c>
      <c r="E82" s="38" t="inlineStr">
        <is>
          <t>Dining &amp; Entertainment</t>
        </is>
      </c>
      <c r="F82" s="38">
        <f>IFERROR(INDEX(Dim_Category[CategoryID],MATCH($E82,Dim_Category[CategoryName],0)),"")</f>
        <v/>
      </c>
      <c r="G82" s="38" t="inlineStr">
        <is>
          <t>Credit Card</t>
        </is>
      </c>
      <c r="H82" s="38">
        <f>IFERROR(INDEX(Dim_Account[AccountID],MATCH($G82,Dim_Account[AccountName],0)),"")</f>
        <v/>
      </c>
      <c r="I82" s="38" t="inlineStr">
        <is>
          <t>Credit Card</t>
        </is>
      </c>
      <c r="J82" s="38">
        <f>IFERROR(INDEX(Dim_PaymentMethod[PaymentMethodID],MATCH($I82,Dim_PaymentMethod[MethodName],0)),"")</f>
        <v/>
      </c>
      <c r="K82" s="40" t="n">
        <v>30.61</v>
      </c>
      <c r="L82" s="38" t="inlineStr">
        <is>
          <t>Want</t>
        </is>
      </c>
      <c r="M82" s="38" t="inlineStr">
        <is>
          <t>No</t>
        </is>
      </c>
      <c r="N82" s="38" t="inlineStr"/>
      <c r="O82" s="38" t="n"/>
      <c r="P82" s="40">
        <f>IF(AND($B82&gt;=CurMonthStart,$B82&lt;=CurMonthEnd),$K82,0)</f>
        <v/>
      </c>
    </row>
    <row r="83">
      <c r="A83" s="38">
        <f>ROW()-5</f>
        <v/>
      </c>
      <c r="B83" s="39" t="n">
        <v>46006</v>
      </c>
      <c r="C83" s="38" t="inlineStr">
        <is>
          <t>Planet Fitness</t>
        </is>
      </c>
      <c r="D83" s="38">
        <f>IFERROR(INDEX(Dim_Vendor[VendorID],MATCH($C83,Dim_Vendor[VendorName],0)),"")</f>
        <v/>
      </c>
      <c r="E83" s="38" t="inlineStr">
        <is>
          <t>Personal Care</t>
        </is>
      </c>
      <c r="F83" s="38">
        <f>IFERROR(INDEX(Dim_Category[CategoryID],MATCH($E83,Dim_Category[CategoryName],0)),"")</f>
        <v/>
      </c>
      <c r="G83" s="38" t="inlineStr">
        <is>
          <t>Checking</t>
        </is>
      </c>
      <c r="H83" s="38">
        <f>IFERROR(INDEX(Dim_Account[AccountID],MATCH($G83,Dim_Account[AccountName],0)),"")</f>
        <v/>
      </c>
      <c r="I83" s="38" t="inlineStr">
        <is>
          <t>ACH</t>
        </is>
      </c>
      <c r="J83" s="38">
        <f>IFERROR(INDEX(Dim_PaymentMethod[PaymentMethodID],MATCH($I83,Dim_PaymentMethod[MethodName],0)),"")</f>
        <v/>
      </c>
      <c r="K83" s="40" t="n">
        <v>23.12</v>
      </c>
      <c r="L83" s="38" t="inlineStr">
        <is>
          <t>Want</t>
        </is>
      </c>
      <c r="M83" s="38" t="inlineStr">
        <is>
          <t>Yes</t>
        </is>
      </c>
      <c r="N83" s="38" t="inlineStr">
        <is>
          <t>Gym membership</t>
        </is>
      </c>
      <c r="O83" s="38" t="n"/>
      <c r="P83" s="40">
        <f>IF(AND($B83&gt;=CurMonthStart,$B83&lt;=CurMonthEnd),$K83,0)</f>
        <v/>
      </c>
    </row>
    <row r="84">
      <c r="A84" s="38">
        <f>ROW()-5</f>
        <v/>
      </c>
      <c r="B84" s="39" t="n">
        <v>46009</v>
      </c>
      <c r="C84" s="38" t="inlineStr">
        <is>
          <t>Amazon</t>
        </is>
      </c>
      <c r="D84" s="38">
        <f>IFERROR(INDEX(Dim_Vendor[VendorID],MATCH($C84,Dim_Vendor[VendorName],0)),"")</f>
        <v/>
      </c>
      <c r="E84" s="38" t="inlineStr">
        <is>
          <t>Shopping</t>
        </is>
      </c>
      <c r="F84" s="38">
        <f>IFERROR(INDEX(Dim_Category[CategoryID],MATCH($E84,Dim_Category[CategoryName],0)),"")</f>
        <v/>
      </c>
      <c r="G84" s="38" t="inlineStr">
        <is>
          <t>Credit Card</t>
        </is>
      </c>
      <c r="H84" s="38">
        <f>IFERROR(INDEX(Dim_Account[AccountID],MATCH($G84,Dim_Account[AccountName],0)),"")</f>
        <v/>
      </c>
      <c r="I84" s="38" t="inlineStr">
        <is>
          <t>Credit Card</t>
        </is>
      </c>
      <c r="J84" s="38">
        <f>IFERROR(INDEX(Dim_PaymentMethod[PaymentMethodID],MATCH($I84,Dim_PaymentMethod[MethodName],0)),"")</f>
        <v/>
      </c>
      <c r="K84" s="40" t="n">
        <v>66.45</v>
      </c>
      <c r="L84" s="38" t="inlineStr">
        <is>
          <t>Want</t>
        </is>
      </c>
      <c r="M84" s="38" t="inlineStr">
        <is>
          <t>No</t>
        </is>
      </c>
      <c r="N84" s="38" t="inlineStr"/>
      <c r="O84" s="38" t="n"/>
      <c r="P84" s="40">
        <f>IF(AND($B84&gt;=CurMonthStart,$B84&lt;=CurMonthEnd),$K84,0)</f>
        <v/>
      </c>
    </row>
    <row r="85">
      <c r="A85" s="38">
        <f>ROW()-5</f>
        <v/>
      </c>
      <c r="B85" s="39" t="n">
        <v>46012</v>
      </c>
      <c r="C85" s="38" t="inlineStr">
        <is>
          <t>Target</t>
        </is>
      </c>
      <c r="D85" s="38">
        <f>IFERROR(INDEX(Dim_Vendor[VendorID],MATCH($C85,Dim_Vendor[VendorName],0)),"")</f>
        <v/>
      </c>
      <c r="E85" s="38" t="inlineStr">
        <is>
          <t>Shopping</t>
        </is>
      </c>
      <c r="F85" s="38">
        <f>IFERROR(INDEX(Dim_Category[CategoryID],MATCH($E85,Dim_Category[CategoryName],0)),"")</f>
        <v/>
      </c>
      <c r="G85" s="38" t="inlineStr">
        <is>
          <t>Credit Card</t>
        </is>
      </c>
      <c r="H85" s="38">
        <f>IFERROR(INDEX(Dim_Account[AccountID],MATCH($G85,Dim_Account[AccountName],0)),"")</f>
        <v/>
      </c>
      <c r="I85" s="38" t="inlineStr">
        <is>
          <t>Credit Card</t>
        </is>
      </c>
      <c r="J85" s="38">
        <f>IFERROR(INDEX(Dim_PaymentMethod[PaymentMethodID],MATCH($I85,Dim_PaymentMethod[MethodName],0)),"")</f>
        <v/>
      </c>
      <c r="K85" s="40" t="n">
        <v>52.3</v>
      </c>
      <c r="L85" s="38" t="inlineStr">
        <is>
          <t>Want</t>
        </is>
      </c>
      <c r="M85" s="38" t="inlineStr">
        <is>
          <t>No</t>
        </is>
      </c>
      <c r="N85" s="38" t="inlineStr"/>
      <c r="O85" s="38" t="n"/>
      <c r="P85" s="40">
        <f>IF(AND($B85&gt;=CurMonthStart,$B85&lt;=CurMonthEnd),$K85,0)</f>
        <v/>
      </c>
    </row>
    <row r="86">
      <c r="A86" s="38">
        <f>ROW()-5</f>
        <v/>
      </c>
      <c r="B86" s="39" t="n">
        <v>46025</v>
      </c>
      <c r="C86" s="38" t="inlineStr">
        <is>
          <t>Mortgage Lender</t>
        </is>
      </c>
      <c r="D86" s="38">
        <f>IFERROR(INDEX(Dim_Vendor[VendorID],MATCH($C86,Dim_Vendor[VendorName],0)),"")</f>
        <v/>
      </c>
      <c r="E86" s="38" t="inlineStr">
        <is>
          <t>Mortgage</t>
        </is>
      </c>
      <c r="F86" s="38">
        <f>IFERROR(INDEX(Dim_Category[CategoryID],MATCH($E86,Dim_Category[CategoryName],0)),"")</f>
        <v/>
      </c>
      <c r="G86" s="38" t="inlineStr">
        <is>
          <t>Checking</t>
        </is>
      </c>
      <c r="H86" s="38">
        <f>IFERROR(INDEX(Dim_Account[AccountID],MATCH($G86,Dim_Account[AccountName],0)),"")</f>
        <v/>
      </c>
      <c r="I86" s="38" t="inlineStr">
        <is>
          <t>ACH</t>
        </is>
      </c>
      <c r="J86" s="38">
        <f>IFERROR(INDEX(Dim_PaymentMethod[PaymentMethodID],MATCH($I86,Dim_PaymentMethod[MethodName],0)),"")</f>
        <v/>
      </c>
      <c r="K86" s="40" t="n">
        <v>2050.58</v>
      </c>
      <c r="L86" s="38" t="inlineStr">
        <is>
          <t>Need</t>
        </is>
      </c>
      <c r="M86" s="38" t="inlineStr">
        <is>
          <t>Yes</t>
        </is>
      </c>
      <c r="N86" s="38" t="inlineStr">
        <is>
          <t>Monthly mortgage payment</t>
        </is>
      </c>
      <c r="O86" s="38" t="n"/>
      <c r="P86" s="40">
        <f>IF(AND($B86&gt;=CurMonthStart,$B86&lt;=CurMonthEnd),$K86,0)</f>
        <v/>
      </c>
    </row>
    <row r="87">
      <c r="A87" s="38">
        <f>ROW()-5</f>
        <v/>
      </c>
      <c r="B87" s="39" t="n">
        <v>46028</v>
      </c>
      <c r="C87" s="38" t="inlineStr">
        <is>
          <t>Whole Foods</t>
        </is>
      </c>
      <c r="D87" s="38">
        <f>IFERROR(INDEX(Dim_Vendor[VendorID],MATCH($C87,Dim_Vendor[VendorName],0)),"")</f>
        <v/>
      </c>
      <c r="E87" s="38" t="inlineStr">
        <is>
          <t>Groceries</t>
        </is>
      </c>
      <c r="F87" s="38">
        <f>IFERROR(INDEX(Dim_Category[CategoryID],MATCH($E87,Dim_Category[CategoryName],0)),"")</f>
        <v/>
      </c>
      <c r="G87" s="38" t="inlineStr">
        <is>
          <t>Credit Card</t>
        </is>
      </c>
      <c r="H87" s="38">
        <f>IFERROR(INDEX(Dim_Account[AccountID],MATCH($G87,Dim_Account[AccountName],0)),"")</f>
        <v/>
      </c>
      <c r="I87" s="38" t="inlineStr">
        <is>
          <t>Credit Card</t>
        </is>
      </c>
      <c r="J87" s="38">
        <f>IFERROR(INDEX(Dim_PaymentMethod[PaymentMethodID],MATCH($I87,Dim_PaymentMethod[MethodName],0)),"")</f>
        <v/>
      </c>
      <c r="K87" s="40" t="n">
        <v>199.63</v>
      </c>
      <c r="L87" s="38" t="inlineStr">
        <is>
          <t>Need</t>
        </is>
      </c>
      <c r="M87" s="38" t="inlineStr">
        <is>
          <t>No</t>
        </is>
      </c>
      <c r="N87" s="38" t="inlineStr"/>
      <c r="O87" s="38" t="n"/>
      <c r="P87" s="40">
        <f>IF(AND($B87&gt;=CurMonthStart,$B87&lt;=CurMonthEnd),$K87,0)</f>
        <v/>
      </c>
    </row>
    <row r="88">
      <c r="A88" s="38">
        <f>ROW()-5</f>
        <v/>
      </c>
      <c r="B88" s="39" t="n">
        <v>46031</v>
      </c>
      <c r="C88" s="38" t="inlineStr">
        <is>
          <t>Costco</t>
        </is>
      </c>
      <c r="D88" s="38">
        <f>IFERROR(INDEX(Dim_Vendor[VendorID],MATCH($C88,Dim_Vendor[VendorName],0)),"")</f>
        <v/>
      </c>
      <c r="E88" s="38" t="inlineStr">
        <is>
          <t>Groceries</t>
        </is>
      </c>
      <c r="F88" s="38">
        <f>IFERROR(INDEX(Dim_Category[CategoryID],MATCH($E88,Dim_Category[CategoryName],0)),"")</f>
        <v/>
      </c>
      <c r="G88" s="38" t="inlineStr">
        <is>
          <t>Credit Card</t>
        </is>
      </c>
      <c r="H88" s="38">
        <f>IFERROR(INDEX(Dim_Account[AccountID],MATCH($G88,Dim_Account[AccountName],0)),"")</f>
        <v/>
      </c>
      <c r="I88" s="38" t="inlineStr">
        <is>
          <t>Credit Card</t>
        </is>
      </c>
      <c r="J88" s="38">
        <f>IFERROR(INDEX(Dim_PaymentMethod[PaymentMethodID],MATCH($I88,Dim_PaymentMethod[MethodName],0)),"")</f>
        <v/>
      </c>
      <c r="K88" s="40" t="n">
        <v>259.86</v>
      </c>
      <c r="L88" s="38" t="inlineStr">
        <is>
          <t>Need</t>
        </is>
      </c>
      <c r="M88" s="38" t="inlineStr">
        <is>
          <t>No</t>
        </is>
      </c>
      <c r="N88" s="38" t="inlineStr">
        <is>
          <t>Bulk groceries</t>
        </is>
      </c>
      <c r="O88" s="38" t="n"/>
      <c r="P88" s="40">
        <f>IF(AND($B88&gt;=CurMonthStart,$B88&lt;=CurMonthEnd),$K88,0)</f>
        <v/>
      </c>
    </row>
    <row r="89">
      <c r="A89" s="38">
        <f>ROW()-5</f>
        <v/>
      </c>
      <c r="B89" s="39" t="n">
        <v>46034</v>
      </c>
      <c r="C89" s="38" t="inlineStr">
        <is>
          <t>Shell Gas Station</t>
        </is>
      </c>
      <c r="D89" s="38">
        <f>IFERROR(INDEX(Dim_Vendor[VendorID],MATCH($C89,Dim_Vendor[VendorName],0)),"")</f>
        <v/>
      </c>
      <c r="E89" s="38" t="inlineStr">
        <is>
          <t>Car</t>
        </is>
      </c>
      <c r="F89" s="38">
        <f>IFERROR(INDEX(Dim_Category[CategoryID],MATCH($E89,Dim_Category[CategoryName],0)),"")</f>
        <v/>
      </c>
      <c r="G89" s="38" t="inlineStr">
        <is>
          <t>Credit Card</t>
        </is>
      </c>
      <c r="H89" s="38">
        <f>IFERROR(INDEX(Dim_Account[AccountID],MATCH($G89,Dim_Account[AccountName],0)),"")</f>
        <v/>
      </c>
      <c r="I89" s="38" t="inlineStr">
        <is>
          <t>Credit Card</t>
        </is>
      </c>
      <c r="J89" s="38">
        <f>IFERROR(INDEX(Dim_PaymentMethod[PaymentMethodID],MATCH($I89,Dim_PaymentMethod[MethodName],0)),"")</f>
        <v/>
      </c>
      <c r="K89" s="40" t="n">
        <v>50.75</v>
      </c>
      <c r="L89" s="38" t="inlineStr">
        <is>
          <t>Need</t>
        </is>
      </c>
      <c r="M89" s="38" t="inlineStr">
        <is>
          <t>No</t>
        </is>
      </c>
      <c r="N89" s="38" t="inlineStr">
        <is>
          <t>Gas</t>
        </is>
      </c>
      <c r="O89" s="38" t="n"/>
      <c r="P89" s="40">
        <f>IF(AND($B89&gt;=CurMonthStart,$B89&lt;=CurMonthEnd),$K89,0)</f>
        <v/>
      </c>
    </row>
    <row r="90">
      <c r="A90" s="38">
        <f>ROW()-5</f>
        <v/>
      </c>
      <c r="B90" s="39" t="n">
        <v>46037</v>
      </c>
      <c r="C90" s="38" t="inlineStr">
        <is>
          <t>AutoZone</t>
        </is>
      </c>
      <c r="D90" s="38">
        <f>IFERROR(INDEX(Dim_Vendor[VendorID],MATCH($C90,Dim_Vendor[VendorName],0)),"")</f>
        <v/>
      </c>
      <c r="E90" s="38" t="inlineStr">
        <is>
          <t>Car</t>
        </is>
      </c>
      <c r="F90" s="38">
        <f>IFERROR(INDEX(Dim_Category[CategoryID],MATCH($E90,Dim_Category[CategoryName],0)),"")</f>
        <v/>
      </c>
      <c r="G90" s="38" t="inlineStr">
        <is>
          <t>Credit Card</t>
        </is>
      </c>
      <c r="H90" s="38">
        <f>IFERROR(INDEX(Dim_Account[AccountID],MATCH($G90,Dim_Account[AccountName],0)),"")</f>
        <v/>
      </c>
      <c r="I90" s="38" t="inlineStr">
        <is>
          <t>Credit Card</t>
        </is>
      </c>
      <c r="J90" s="38">
        <f>IFERROR(INDEX(Dim_PaymentMethod[PaymentMethodID],MATCH($I90,Dim_PaymentMethod[MethodName],0)),"")</f>
        <v/>
      </c>
      <c r="K90" s="40" t="n">
        <v>39.71</v>
      </c>
      <c r="L90" s="38" t="inlineStr">
        <is>
          <t>Need</t>
        </is>
      </c>
      <c r="M90" s="38" t="inlineStr">
        <is>
          <t>No</t>
        </is>
      </c>
      <c r="N90" s="38" t="inlineStr">
        <is>
          <t>Wiper blades / oil</t>
        </is>
      </c>
      <c r="O90" s="38" t="n"/>
      <c r="P90" s="40">
        <f>IF(AND($B90&gt;=CurMonthStart,$B90&lt;=CurMonthEnd),$K90,0)</f>
        <v/>
      </c>
    </row>
    <row r="91">
      <c r="A91" s="38">
        <f>ROW()-5</f>
        <v/>
      </c>
      <c r="B91" s="39" t="n">
        <v>46040</v>
      </c>
      <c r="C91" s="38" t="inlineStr">
        <is>
          <t>City Electric Co</t>
        </is>
      </c>
      <c r="D91" s="38">
        <f>IFERROR(INDEX(Dim_Vendor[VendorID],MATCH($C91,Dim_Vendor[VendorName],0)),"")</f>
        <v/>
      </c>
      <c r="E91" s="38" t="inlineStr">
        <is>
          <t>Utilities</t>
        </is>
      </c>
      <c r="F91" s="38">
        <f>IFERROR(INDEX(Dim_Category[CategoryID],MATCH($E91,Dim_Category[CategoryName],0)),"")</f>
        <v/>
      </c>
      <c r="G91" s="38" t="inlineStr">
        <is>
          <t>Checking</t>
        </is>
      </c>
      <c r="H91" s="38">
        <f>IFERROR(INDEX(Dim_Account[AccountID],MATCH($G91,Dim_Account[AccountName],0)),"")</f>
        <v/>
      </c>
      <c r="I91" s="38" t="inlineStr">
        <is>
          <t>ACH</t>
        </is>
      </c>
      <c r="J91" s="38">
        <f>IFERROR(INDEX(Dim_PaymentMethod[PaymentMethodID],MATCH($I91,Dim_PaymentMethod[MethodName],0)),"")</f>
        <v/>
      </c>
      <c r="K91" s="40" t="n">
        <v>126.45</v>
      </c>
      <c r="L91" s="38" t="inlineStr">
        <is>
          <t>Need</t>
        </is>
      </c>
      <c r="M91" s="38" t="inlineStr">
        <is>
          <t>Yes</t>
        </is>
      </c>
      <c r="N91" s="38" t="inlineStr"/>
      <c r="O91" s="38" t="n"/>
      <c r="P91" s="40">
        <f>IF(AND($B91&gt;=CurMonthStart,$B91&lt;=CurMonthEnd),$K91,0)</f>
        <v/>
      </c>
    </row>
    <row r="92">
      <c r="A92" s="38">
        <f>ROW()-5</f>
        <v/>
      </c>
      <c r="B92" s="39" t="n">
        <v>46043</v>
      </c>
      <c r="C92" s="38" t="inlineStr">
        <is>
          <t>Comcast Xfinity</t>
        </is>
      </c>
      <c r="D92" s="38">
        <f>IFERROR(INDEX(Dim_Vendor[VendorID],MATCH($C92,Dim_Vendor[VendorName],0)),"")</f>
        <v/>
      </c>
      <c r="E92" s="38" t="inlineStr">
        <is>
          <t>Utilities</t>
        </is>
      </c>
      <c r="F92" s="38">
        <f>IFERROR(INDEX(Dim_Category[CategoryID],MATCH($E92,Dim_Category[CategoryName],0)),"")</f>
        <v/>
      </c>
      <c r="G92" s="38" t="inlineStr">
        <is>
          <t>Checking</t>
        </is>
      </c>
      <c r="H92" s="38">
        <f>IFERROR(INDEX(Dim_Account[AccountID],MATCH($G92,Dim_Account[AccountName],0)),"")</f>
        <v/>
      </c>
      <c r="I92" s="38" t="inlineStr">
        <is>
          <t>ACH</t>
        </is>
      </c>
      <c r="J92" s="38">
        <f>IFERROR(INDEX(Dim_PaymentMethod[PaymentMethodID],MATCH($I92,Dim_PaymentMethod[MethodName],0)),"")</f>
        <v/>
      </c>
      <c r="K92" s="40" t="n">
        <v>85.3</v>
      </c>
      <c r="L92" s="38" t="inlineStr">
        <is>
          <t>Need</t>
        </is>
      </c>
      <c r="M92" s="38" t="inlineStr">
        <is>
          <t>Yes</t>
        </is>
      </c>
      <c r="N92" s="38" t="inlineStr">
        <is>
          <t>Internet</t>
        </is>
      </c>
      <c r="O92" s="38" t="n"/>
      <c r="P92" s="40">
        <f>IF(AND($B92&gt;=CurMonthStart,$B92&lt;=CurMonthEnd),$K92,0)</f>
        <v/>
      </c>
    </row>
    <row r="93">
      <c r="A93" s="38">
        <f>ROW()-5</f>
        <v/>
      </c>
      <c r="B93" s="39" t="n">
        <v>46046</v>
      </c>
      <c r="C93" s="38" t="inlineStr">
        <is>
          <t>Verizon Wireless</t>
        </is>
      </c>
      <c r="D93" s="38">
        <f>IFERROR(INDEX(Dim_Vendor[VendorID],MATCH($C93,Dim_Vendor[VendorName],0)),"")</f>
        <v/>
      </c>
      <c r="E93" s="38" t="inlineStr">
        <is>
          <t>Utilities</t>
        </is>
      </c>
      <c r="F93" s="38">
        <f>IFERROR(INDEX(Dim_Category[CategoryID],MATCH($E93,Dim_Category[CategoryName],0)),"")</f>
        <v/>
      </c>
      <c r="G93" s="38" t="inlineStr">
        <is>
          <t>Checking</t>
        </is>
      </c>
      <c r="H93" s="38">
        <f>IFERROR(INDEX(Dim_Account[AccountID],MATCH($G93,Dim_Account[AccountName],0)),"")</f>
        <v/>
      </c>
      <c r="I93" s="38" t="inlineStr">
        <is>
          <t>ACH</t>
        </is>
      </c>
      <c r="J93" s="38">
        <f>IFERROR(INDEX(Dim_PaymentMethod[PaymentMethodID],MATCH($I93,Dim_PaymentMethod[MethodName],0)),"")</f>
        <v/>
      </c>
      <c r="K93" s="40" t="n">
        <v>94.37</v>
      </c>
      <c r="L93" s="38" t="inlineStr">
        <is>
          <t>Need</t>
        </is>
      </c>
      <c r="M93" s="38" t="inlineStr">
        <is>
          <t>Yes</t>
        </is>
      </c>
      <c r="N93" s="38" t="inlineStr">
        <is>
          <t>Mobile phone</t>
        </is>
      </c>
      <c r="O93" s="38" t="n"/>
      <c r="P93" s="40">
        <f>IF(AND($B93&gt;=CurMonthStart,$B93&lt;=CurMonthEnd),$K93,0)</f>
        <v/>
      </c>
    </row>
    <row r="94">
      <c r="A94" s="38">
        <f>ROW()-5</f>
        <v/>
      </c>
      <c r="B94" s="39" t="n">
        <v>46049</v>
      </c>
      <c r="C94" s="38" t="inlineStr">
        <is>
          <t>State Farm Insurance</t>
        </is>
      </c>
      <c r="D94" s="38">
        <f>IFERROR(INDEX(Dim_Vendor[VendorID],MATCH($C94,Dim_Vendor[VendorName],0)),"")</f>
        <v/>
      </c>
      <c r="E94" s="38" t="inlineStr">
        <is>
          <t>Insurance</t>
        </is>
      </c>
      <c r="F94" s="38">
        <f>IFERROR(INDEX(Dim_Category[CategoryID],MATCH($E94,Dim_Category[CategoryName],0)),"")</f>
        <v/>
      </c>
      <c r="G94" s="38" t="inlineStr">
        <is>
          <t>Checking</t>
        </is>
      </c>
      <c r="H94" s="38">
        <f>IFERROR(INDEX(Dim_Account[AccountID],MATCH($G94,Dim_Account[AccountName],0)),"")</f>
        <v/>
      </c>
      <c r="I94" s="38" t="inlineStr">
        <is>
          <t>ACH</t>
        </is>
      </c>
      <c r="J94" s="38">
        <f>IFERROR(INDEX(Dim_PaymentMethod[PaymentMethodID],MATCH($I94,Dim_PaymentMethod[MethodName],0)),"")</f>
        <v/>
      </c>
      <c r="K94" s="40" t="n">
        <v>136.66</v>
      </c>
      <c r="L94" s="38" t="inlineStr">
        <is>
          <t>Need</t>
        </is>
      </c>
      <c r="M94" s="38" t="inlineStr">
        <is>
          <t>Yes</t>
        </is>
      </c>
      <c r="N94" s="38" t="inlineStr">
        <is>
          <t>Auto + home insurance</t>
        </is>
      </c>
      <c r="O94" s="38" t="n"/>
      <c r="P94" s="40">
        <f>IF(AND($B94&gt;=CurMonthStart,$B94&lt;=CurMonthEnd),$K94,0)</f>
        <v/>
      </c>
    </row>
    <row r="95">
      <c r="A95" s="38">
        <f>ROW()-5</f>
        <v/>
      </c>
      <c r="B95" s="39" t="n">
        <v>46025</v>
      </c>
      <c r="C95" s="38" t="inlineStr">
        <is>
          <t>Kaiser Permanente</t>
        </is>
      </c>
      <c r="D95" s="38">
        <f>IFERROR(INDEX(Dim_Vendor[VendorID],MATCH($C95,Dim_Vendor[VendorName],0)),"")</f>
        <v/>
      </c>
      <c r="E95" s="38" t="inlineStr">
        <is>
          <t>Healthcare</t>
        </is>
      </c>
      <c r="F95" s="38">
        <f>IFERROR(INDEX(Dim_Category[CategoryID],MATCH($E95,Dim_Category[CategoryName],0)),"")</f>
        <v/>
      </c>
      <c r="G95" s="38" t="inlineStr">
        <is>
          <t>Credit Card</t>
        </is>
      </c>
      <c r="H95" s="38">
        <f>IFERROR(INDEX(Dim_Account[AccountID],MATCH($G95,Dim_Account[AccountName],0)),"")</f>
        <v/>
      </c>
      <c r="I95" s="38" t="inlineStr">
        <is>
          <t>Credit Card</t>
        </is>
      </c>
      <c r="J95" s="38">
        <f>IFERROR(INDEX(Dim_PaymentMethod[PaymentMethodID],MATCH($I95,Dim_PaymentMethod[MethodName],0)),"")</f>
        <v/>
      </c>
      <c r="K95" s="40" t="n">
        <v>43.18</v>
      </c>
      <c r="L95" s="38" t="inlineStr">
        <is>
          <t>Need</t>
        </is>
      </c>
      <c r="M95" s="38" t="inlineStr">
        <is>
          <t>No</t>
        </is>
      </c>
      <c r="N95" s="38" t="inlineStr">
        <is>
          <t>Copay</t>
        </is>
      </c>
      <c r="O95" s="38" t="n"/>
      <c r="P95" s="40">
        <f>IF(AND($B95&gt;=CurMonthStart,$B95&lt;=CurMonthEnd),$K95,0)</f>
        <v/>
      </c>
    </row>
    <row r="96">
      <c r="A96" s="38">
        <f>ROW()-5</f>
        <v/>
      </c>
      <c r="B96" s="39" t="n">
        <v>46028</v>
      </c>
      <c r="C96" s="38" t="inlineStr">
        <is>
          <t>Chipotle</t>
        </is>
      </c>
      <c r="D96" s="38">
        <f>IFERROR(INDEX(Dim_Vendor[VendorID],MATCH($C96,Dim_Vendor[VendorName],0)),"")</f>
        <v/>
      </c>
      <c r="E96" s="38" t="inlineStr">
        <is>
          <t>Dining &amp; Entertainment</t>
        </is>
      </c>
      <c r="F96" s="38">
        <f>IFERROR(INDEX(Dim_Category[CategoryID],MATCH($E96,Dim_Category[CategoryName],0)),"")</f>
        <v/>
      </c>
      <c r="G96" s="38" t="inlineStr">
        <is>
          <t>Credit Card</t>
        </is>
      </c>
      <c r="H96" s="38">
        <f>IFERROR(INDEX(Dim_Account[AccountID],MATCH($G96,Dim_Account[AccountName],0)),"")</f>
        <v/>
      </c>
      <c r="I96" s="38" t="inlineStr">
        <is>
          <t>Credit Card</t>
        </is>
      </c>
      <c r="J96" s="38">
        <f>IFERROR(INDEX(Dim_PaymentMethod[PaymentMethodID],MATCH($I96,Dim_PaymentMethod[MethodName],0)),"")</f>
        <v/>
      </c>
      <c r="K96" s="40" t="n">
        <v>14.25</v>
      </c>
      <c r="L96" s="38" t="inlineStr">
        <is>
          <t>Want</t>
        </is>
      </c>
      <c r="M96" s="38" t="inlineStr">
        <is>
          <t>No</t>
        </is>
      </c>
      <c r="N96" s="38" t="inlineStr"/>
      <c r="O96" s="38" t="n"/>
      <c r="P96" s="40">
        <f>IF(AND($B96&gt;=CurMonthStart,$B96&lt;=CurMonthEnd),$K96,0)</f>
        <v/>
      </c>
    </row>
    <row r="97">
      <c r="A97" s="38">
        <f>ROW()-5</f>
        <v/>
      </c>
      <c r="B97" s="39" t="n">
        <v>46031</v>
      </c>
      <c r="C97" s="38" t="inlineStr">
        <is>
          <t>Netflix</t>
        </is>
      </c>
      <c r="D97" s="38">
        <f>IFERROR(INDEX(Dim_Vendor[VendorID],MATCH($C97,Dim_Vendor[VendorName],0)),"")</f>
        <v/>
      </c>
      <c r="E97" s="38" t="inlineStr">
        <is>
          <t>Dining &amp; Entertainment</t>
        </is>
      </c>
      <c r="F97" s="38">
        <f>IFERROR(INDEX(Dim_Category[CategoryID],MATCH($E97,Dim_Category[CategoryName],0)),"")</f>
        <v/>
      </c>
      <c r="G97" s="38" t="inlineStr">
        <is>
          <t>Credit Card</t>
        </is>
      </c>
      <c r="H97" s="38">
        <f>IFERROR(INDEX(Dim_Account[AccountID],MATCH($G97,Dim_Account[AccountName],0)),"")</f>
        <v/>
      </c>
      <c r="I97" s="38" t="inlineStr">
        <is>
          <t>Credit Card</t>
        </is>
      </c>
      <c r="J97" s="38">
        <f>IFERROR(INDEX(Dim_PaymentMethod[PaymentMethodID],MATCH($I97,Dim_PaymentMethod[MethodName],0)),"")</f>
        <v/>
      </c>
      <c r="K97" s="40" t="n">
        <v>15.49</v>
      </c>
      <c r="L97" s="38" t="inlineStr">
        <is>
          <t>Want</t>
        </is>
      </c>
      <c r="M97" s="38" t="inlineStr">
        <is>
          <t>Yes</t>
        </is>
      </c>
      <c r="N97" s="38" t="inlineStr">
        <is>
          <t>Streaming subscription</t>
        </is>
      </c>
      <c r="O97" s="38" t="n"/>
      <c r="P97" s="40">
        <f>IF(AND($B97&gt;=CurMonthStart,$B97&lt;=CurMonthEnd),$K97,0)</f>
        <v/>
      </c>
    </row>
    <row r="98">
      <c r="A98" s="38">
        <f>ROW()-5</f>
        <v/>
      </c>
      <c r="B98" s="39" t="n">
        <v>46034</v>
      </c>
      <c r="C98" s="38" t="inlineStr">
        <is>
          <t>AMC Theatres</t>
        </is>
      </c>
      <c r="D98" s="38">
        <f>IFERROR(INDEX(Dim_Vendor[VendorID],MATCH($C98,Dim_Vendor[VendorName],0)),"")</f>
        <v/>
      </c>
      <c r="E98" s="38" t="inlineStr">
        <is>
          <t>Dining &amp; Entertainment</t>
        </is>
      </c>
      <c r="F98" s="38">
        <f>IFERROR(INDEX(Dim_Category[CategoryID],MATCH($E98,Dim_Category[CategoryName],0)),"")</f>
        <v/>
      </c>
      <c r="G98" s="38" t="inlineStr">
        <is>
          <t>Credit Card</t>
        </is>
      </c>
      <c r="H98" s="38">
        <f>IFERROR(INDEX(Dim_Account[AccountID],MATCH($G98,Dim_Account[AccountName],0)),"")</f>
        <v/>
      </c>
      <c r="I98" s="38" t="inlineStr">
        <is>
          <t>Credit Card</t>
        </is>
      </c>
      <c r="J98" s="38">
        <f>IFERROR(INDEX(Dim_PaymentMethod[PaymentMethodID],MATCH($I98,Dim_PaymentMethod[MethodName],0)),"")</f>
        <v/>
      </c>
      <c r="K98" s="40" t="n">
        <v>32.31</v>
      </c>
      <c r="L98" s="38" t="inlineStr">
        <is>
          <t>Want</t>
        </is>
      </c>
      <c r="M98" s="38" t="inlineStr">
        <is>
          <t>No</t>
        </is>
      </c>
      <c r="N98" s="38" t="inlineStr"/>
      <c r="O98" s="38" t="n"/>
      <c r="P98" s="40">
        <f>IF(AND($B98&gt;=CurMonthStart,$B98&lt;=CurMonthEnd),$K98,0)</f>
        <v/>
      </c>
    </row>
    <row r="99">
      <c r="A99" s="38">
        <f>ROW()-5</f>
        <v/>
      </c>
      <c r="B99" s="39" t="n">
        <v>46037</v>
      </c>
      <c r="C99" s="38" t="inlineStr">
        <is>
          <t>Planet Fitness</t>
        </is>
      </c>
      <c r="D99" s="38">
        <f>IFERROR(INDEX(Dim_Vendor[VendorID],MATCH($C99,Dim_Vendor[VendorName],0)),"")</f>
        <v/>
      </c>
      <c r="E99" s="38" t="inlineStr">
        <is>
          <t>Personal Care</t>
        </is>
      </c>
      <c r="F99" s="38">
        <f>IFERROR(INDEX(Dim_Category[CategoryID],MATCH($E99,Dim_Category[CategoryName],0)),"")</f>
        <v/>
      </c>
      <c r="G99" s="38" t="inlineStr">
        <is>
          <t>Checking</t>
        </is>
      </c>
      <c r="H99" s="38">
        <f>IFERROR(INDEX(Dim_Account[AccountID],MATCH($G99,Dim_Account[AccountName],0)),"")</f>
        <v/>
      </c>
      <c r="I99" s="38" t="inlineStr">
        <is>
          <t>ACH</t>
        </is>
      </c>
      <c r="J99" s="38">
        <f>IFERROR(INDEX(Dim_PaymentMethod[PaymentMethodID],MATCH($I99,Dim_PaymentMethod[MethodName],0)),"")</f>
        <v/>
      </c>
      <c r="K99" s="40" t="n">
        <v>24.04</v>
      </c>
      <c r="L99" s="38" t="inlineStr">
        <is>
          <t>Want</t>
        </is>
      </c>
      <c r="M99" s="38" t="inlineStr">
        <is>
          <t>Yes</t>
        </is>
      </c>
      <c r="N99" s="38" t="inlineStr">
        <is>
          <t>Gym membership</t>
        </is>
      </c>
      <c r="O99" s="38" t="n"/>
      <c r="P99" s="40">
        <f>IF(AND($B99&gt;=CurMonthStart,$B99&lt;=CurMonthEnd),$K99,0)</f>
        <v/>
      </c>
    </row>
    <row r="100">
      <c r="A100" s="38">
        <f>ROW()-5</f>
        <v/>
      </c>
      <c r="B100" s="39" t="n">
        <v>46040</v>
      </c>
      <c r="C100" s="38" t="inlineStr">
        <is>
          <t>Amazon</t>
        </is>
      </c>
      <c r="D100" s="38">
        <f>IFERROR(INDEX(Dim_Vendor[VendorID],MATCH($C100,Dim_Vendor[VendorName],0)),"")</f>
        <v/>
      </c>
      <c r="E100" s="38" t="inlineStr">
        <is>
          <t>Shopping</t>
        </is>
      </c>
      <c r="F100" s="38">
        <f>IFERROR(INDEX(Dim_Category[CategoryID],MATCH($E100,Dim_Category[CategoryName],0)),"")</f>
        <v/>
      </c>
      <c r="G100" s="38" t="inlineStr">
        <is>
          <t>Credit Card</t>
        </is>
      </c>
      <c r="H100" s="38">
        <f>IFERROR(INDEX(Dim_Account[AccountID],MATCH($G100,Dim_Account[AccountName],0)),"")</f>
        <v/>
      </c>
      <c r="I100" s="38" t="inlineStr">
        <is>
          <t>Credit Card</t>
        </is>
      </c>
      <c r="J100" s="38">
        <f>IFERROR(INDEX(Dim_PaymentMethod[PaymentMethodID],MATCH($I100,Dim_PaymentMethod[MethodName],0)),"")</f>
        <v/>
      </c>
      <c r="K100" s="40" t="n">
        <v>69.40000000000001</v>
      </c>
      <c r="L100" s="38" t="inlineStr">
        <is>
          <t>Want</t>
        </is>
      </c>
      <c r="M100" s="38" t="inlineStr">
        <is>
          <t>No</t>
        </is>
      </c>
      <c r="N100" s="38" t="inlineStr"/>
      <c r="O100" s="38" t="n"/>
      <c r="P100" s="40">
        <f>IF(AND($B100&gt;=CurMonthStart,$B100&lt;=CurMonthEnd),$K100,0)</f>
        <v/>
      </c>
    </row>
    <row r="101">
      <c r="A101" s="38">
        <f>ROW()-5</f>
        <v/>
      </c>
      <c r="B101" s="39" t="n">
        <v>46043</v>
      </c>
      <c r="C101" s="38" t="inlineStr">
        <is>
          <t>Target</t>
        </is>
      </c>
      <c r="D101" s="38">
        <f>IFERROR(INDEX(Dim_Vendor[VendorID],MATCH($C101,Dim_Vendor[VendorName],0)),"")</f>
        <v/>
      </c>
      <c r="E101" s="38" t="inlineStr">
        <is>
          <t>Shopping</t>
        </is>
      </c>
      <c r="F101" s="38">
        <f>IFERROR(INDEX(Dim_Category[CategoryID],MATCH($E101,Dim_Category[CategoryName],0)),"")</f>
        <v/>
      </c>
      <c r="G101" s="38" t="inlineStr">
        <is>
          <t>Credit Card</t>
        </is>
      </c>
      <c r="H101" s="38">
        <f>IFERROR(INDEX(Dim_Account[AccountID],MATCH($G101,Dim_Account[AccountName],0)),"")</f>
        <v/>
      </c>
      <c r="I101" s="38" t="inlineStr">
        <is>
          <t>Credit Card</t>
        </is>
      </c>
      <c r="J101" s="38">
        <f>IFERROR(INDEX(Dim_PaymentMethod[PaymentMethodID],MATCH($I101,Dim_PaymentMethod[MethodName],0)),"")</f>
        <v/>
      </c>
      <c r="K101" s="40" t="n">
        <v>57.78</v>
      </c>
      <c r="L101" s="38" t="inlineStr">
        <is>
          <t>Want</t>
        </is>
      </c>
      <c r="M101" s="38" t="inlineStr">
        <is>
          <t>No</t>
        </is>
      </c>
      <c r="N101" s="38" t="inlineStr"/>
      <c r="O101" s="38" t="n"/>
      <c r="P101" s="40">
        <f>IF(AND($B101&gt;=CurMonthStart,$B101&lt;=CurMonthEnd),$K101,0)</f>
        <v/>
      </c>
    </row>
    <row r="102">
      <c r="A102" s="38">
        <f>ROW()-5</f>
        <v/>
      </c>
      <c r="B102" s="39" t="n">
        <v>46056</v>
      </c>
      <c r="C102" s="38" t="inlineStr">
        <is>
          <t>Mortgage Lender</t>
        </is>
      </c>
      <c r="D102" s="38">
        <f>IFERROR(INDEX(Dim_Vendor[VendorID],MATCH($C102,Dim_Vendor[VendorName],0)),"")</f>
        <v/>
      </c>
      <c r="E102" s="38" t="inlineStr">
        <is>
          <t>Mortgage</t>
        </is>
      </c>
      <c r="F102" s="38">
        <f>IFERROR(INDEX(Dim_Category[CategoryID],MATCH($E102,Dim_Category[CategoryName],0)),"")</f>
        <v/>
      </c>
      <c r="G102" s="38" t="inlineStr">
        <is>
          <t>Checking</t>
        </is>
      </c>
      <c r="H102" s="38">
        <f>IFERROR(INDEX(Dim_Account[AccountID],MATCH($G102,Dim_Account[AccountName],0)),"")</f>
        <v/>
      </c>
      <c r="I102" s="38" t="inlineStr">
        <is>
          <t>ACH</t>
        </is>
      </c>
      <c r="J102" s="38">
        <f>IFERROR(INDEX(Dim_PaymentMethod[PaymentMethodID],MATCH($I102,Dim_PaymentMethod[MethodName],0)),"")</f>
        <v/>
      </c>
      <c r="K102" s="40" t="n">
        <v>2115.39</v>
      </c>
      <c r="L102" s="38" t="inlineStr">
        <is>
          <t>Need</t>
        </is>
      </c>
      <c r="M102" s="38" t="inlineStr">
        <is>
          <t>Yes</t>
        </is>
      </c>
      <c r="N102" s="38" t="inlineStr">
        <is>
          <t>Monthly mortgage payment</t>
        </is>
      </c>
      <c r="O102" s="38" t="n"/>
      <c r="P102" s="40">
        <f>IF(AND($B102&gt;=CurMonthStart,$B102&lt;=CurMonthEnd),$K102,0)</f>
        <v/>
      </c>
    </row>
    <row r="103">
      <c r="A103" s="38">
        <f>ROW()-5</f>
        <v/>
      </c>
      <c r="B103" s="39" t="n">
        <v>46059</v>
      </c>
      <c r="C103" s="38" t="inlineStr">
        <is>
          <t>Whole Foods</t>
        </is>
      </c>
      <c r="D103" s="38">
        <f>IFERROR(INDEX(Dim_Vendor[VendorID],MATCH($C103,Dim_Vendor[VendorName],0)),"")</f>
        <v/>
      </c>
      <c r="E103" s="38" t="inlineStr">
        <is>
          <t>Groceries</t>
        </is>
      </c>
      <c r="F103" s="38">
        <f>IFERROR(INDEX(Dim_Category[CategoryID],MATCH($E103,Dim_Category[CategoryName],0)),"")</f>
        <v/>
      </c>
      <c r="G103" s="38" t="inlineStr">
        <is>
          <t>Credit Card</t>
        </is>
      </c>
      <c r="H103" s="38">
        <f>IFERROR(INDEX(Dim_Account[AccountID],MATCH($G103,Dim_Account[AccountName],0)),"")</f>
        <v/>
      </c>
      <c r="I103" s="38" t="inlineStr">
        <is>
          <t>Credit Card</t>
        </is>
      </c>
      <c r="J103" s="38">
        <f>IFERROR(INDEX(Dim_PaymentMethod[PaymentMethodID],MATCH($I103,Dim_PaymentMethod[MethodName],0)),"")</f>
        <v/>
      </c>
      <c r="K103" s="40" t="n">
        <v>178.05</v>
      </c>
      <c r="L103" s="38" t="inlineStr">
        <is>
          <t>Need</t>
        </is>
      </c>
      <c r="M103" s="38" t="inlineStr">
        <is>
          <t>No</t>
        </is>
      </c>
      <c r="N103" s="38" t="inlineStr"/>
      <c r="O103" s="38" t="n"/>
      <c r="P103" s="40">
        <f>IF(AND($B103&gt;=CurMonthStart,$B103&lt;=CurMonthEnd),$K103,0)</f>
        <v/>
      </c>
    </row>
    <row r="104">
      <c r="A104" s="38">
        <f>ROW()-5</f>
        <v/>
      </c>
      <c r="B104" s="39" t="n">
        <v>46062</v>
      </c>
      <c r="C104" s="38" t="inlineStr">
        <is>
          <t>Costco</t>
        </is>
      </c>
      <c r="D104" s="38">
        <f>IFERROR(INDEX(Dim_Vendor[VendorID],MATCH($C104,Dim_Vendor[VendorName],0)),"")</f>
        <v/>
      </c>
      <c r="E104" s="38" t="inlineStr">
        <is>
          <t>Groceries</t>
        </is>
      </c>
      <c r="F104" s="38">
        <f>IFERROR(INDEX(Dim_Category[CategoryID],MATCH($E104,Dim_Category[CategoryName],0)),"")</f>
        <v/>
      </c>
      <c r="G104" s="38" t="inlineStr">
        <is>
          <t>Credit Card</t>
        </is>
      </c>
      <c r="H104" s="38">
        <f>IFERROR(INDEX(Dim_Account[AccountID],MATCH($G104,Dim_Account[AccountName],0)),"")</f>
        <v/>
      </c>
      <c r="I104" s="38" t="inlineStr">
        <is>
          <t>Credit Card</t>
        </is>
      </c>
      <c r="J104" s="38">
        <f>IFERROR(INDEX(Dim_PaymentMethod[PaymentMethodID],MATCH($I104,Dim_PaymentMethod[MethodName],0)),"")</f>
        <v/>
      </c>
      <c r="K104" s="40" t="n">
        <v>264.61</v>
      </c>
      <c r="L104" s="38" t="inlineStr">
        <is>
          <t>Need</t>
        </is>
      </c>
      <c r="M104" s="38" t="inlineStr">
        <is>
          <t>No</t>
        </is>
      </c>
      <c r="N104" s="38" t="inlineStr">
        <is>
          <t>Bulk groceries</t>
        </is>
      </c>
      <c r="O104" s="38" t="n"/>
      <c r="P104" s="40">
        <f>IF(AND($B104&gt;=CurMonthStart,$B104&lt;=CurMonthEnd),$K104,0)</f>
        <v/>
      </c>
    </row>
    <row r="105">
      <c r="A105" s="38">
        <f>ROW()-5</f>
        <v/>
      </c>
      <c r="B105" s="39" t="n">
        <v>46065</v>
      </c>
      <c r="C105" s="38" t="inlineStr">
        <is>
          <t>Shell Gas Station</t>
        </is>
      </c>
      <c r="D105" s="38">
        <f>IFERROR(INDEX(Dim_Vendor[VendorID],MATCH($C105,Dim_Vendor[VendorName],0)),"")</f>
        <v/>
      </c>
      <c r="E105" s="38" t="inlineStr">
        <is>
          <t>Car</t>
        </is>
      </c>
      <c r="F105" s="38">
        <f>IFERROR(INDEX(Dim_Category[CategoryID],MATCH($E105,Dim_Category[CategoryName],0)),"")</f>
        <v/>
      </c>
      <c r="G105" s="38" t="inlineStr">
        <is>
          <t>Credit Card</t>
        </is>
      </c>
      <c r="H105" s="38">
        <f>IFERROR(INDEX(Dim_Account[AccountID],MATCH($G105,Dim_Account[AccountName],0)),"")</f>
        <v/>
      </c>
      <c r="I105" s="38" t="inlineStr">
        <is>
          <t>Credit Card</t>
        </is>
      </c>
      <c r="J105" s="38">
        <f>IFERROR(INDEX(Dim_PaymentMethod[PaymentMethodID],MATCH($I105,Dim_PaymentMethod[MethodName],0)),"")</f>
        <v/>
      </c>
      <c r="K105" s="40" t="n">
        <v>52.38</v>
      </c>
      <c r="L105" s="38" t="inlineStr">
        <is>
          <t>Need</t>
        </is>
      </c>
      <c r="M105" s="38" t="inlineStr">
        <is>
          <t>No</t>
        </is>
      </c>
      <c r="N105" s="38" t="inlineStr">
        <is>
          <t>Gas</t>
        </is>
      </c>
      <c r="O105" s="38" t="n"/>
      <c r="P105" s="40">
        <f>IF(AND($B105&gt;=CurMonthStart,$B105&lt;=CurMonthEnd),$K105,0)</f>
        <v/>
      </c>
    </row>
    <row r="106">
      <c r="A106" s="38">
        <f>ROW()-5</f>
        <v/>
      </c>
      <c r="B106" s="39" t="n">
        <v>46068</v>
      </c>
      <c r="C106" s="38" t="inlineStr">
        <is>
          <t>AutoZone</t>
        </is>
      </c>
      <c r="D106" s="38">
        <f>IFERROR(INDEX(Dim_Vendor[VendorID],MATCH($C106,Dim_Vendor[VendorName],0)),"")</f>
        <v/>
      </c>
      <c r="E106" s="38" t="inlineStr">
        <is>
          <t>Car</t>
        </is>
      </c>
      <c r="F106" s="38">
        <f>IFERROR(INDEX(Dim_Category[CategoryID],MATCH($E106,Dim_Category[CategoryName],0)),"")</f>
        <v/>
      </c>
      <c r="G106" s="38" t="inlineStr">
        <is>
          <t>Credit Card</t>
        </is>
      </c>
      <c r="H106" s="38">
        <f>IFERROR(INDEX(Dim_Account[AccountID],MATCH($G106,Dim_Account[AccountName],0)),"")</f>
        <v/>
      </c>
      <c r="I106" s="38" t="inlineStr">
        <is>
          <t>Credit Card</t>
        </is>
      </c>
      <c r="J106" s="38">
        <f>IFERROR(INDEX(Dim_PaymentMethod[PaymentMethodID],MATCH($I106,Dim_PaymentMethod[MethodName],0)),"")</f>
        <v/>
      </c>
      <c r="K106" s="40" t="n">
        <v>36.21</v>
      </c>
      <c r="L106" s="38" t="inlineStr">
        <is>
          <t>Need</t>
        </is>
      </c>
      <c r="M106" s="38" t="inlineStr">
        <is>
          <t>No</t>
        </is>
      </c>
      <c r="N106" s="38" t="inlineStr">
        <is>
          <t>Wiper blades / oil</t>
        </is>
      </c>
      <c r="O106" s="38" t="n"/>
      <c r="P106" s="40">
        <f>IF(AND($B106&gt;=CurMonthStart,$B106&lt;=CurMonthEnd),$K106,0)</f>
        <v/>
      </c>
    </row>
    <row r="107">
      <c r="A107" s="38">
        <f>ROW()-5</f>
        <v/>
      </c>
      <c r="B107" s="39" t="n">
        <v>46071</v>
      </c>
      <c r="C107" s="38" t="inlineStr">
        <is>
          <t>City Electric Co</t>
        </is>
      </c>
      <c r="D107" s="38">
        <f>IFERROR(INDEX(Dim_Vendor[VendorID],MATCH($C107,Dim_Vendor[VendorName],0)),"")</f>
        <v/>
      </c>
      <c r="E107" s="38" t="inlineStr">
        <is>
          <t>Utilities</t>
        </is>
      </c>
      <c r="F107" s="38">
        <f>IFERROR(INDEX(Dim_Category[CategoryID],MATCH($E107,Dim_Category[CategoryName],0)),"")</f>
        <v/>
      </c>
      <c r="G107" s="38" t="inlineStr">
        <is>
          <t>Checking</t>
        </is>
      </c>
      <c r="H107" s="38">
        <f>IFERROR(INDEX(Dim_Account[AccountID],MATCH($G107,Dim_Account[AccountName],0)),"")</f>
        <v/>
      </c>
      <c r="I107" s="38" t="inlineStr">
        <is>
          <t>ACH</t>
        </is>
      </c>
      <c r="J107" s="38">
        <f>IFERROR(INDEX(Dim_PaymentMethod[PaymentMethodID],MATCH($I107,Dim_PaymentMethod[MethodName],0)),"")</f>
        <v/>
      </c>
      <c r="K107" s="40" t="n">
        <v>119.28</v>
      </c>
      <c r="L107" s="38" t="inlineStr">
        <is>
          <t>Need</t>
        </is>
      </c>
      <c r="M107" s="38" t="inlineStr">
        <is>
          <t>Yes</t>
        </is>
      </c>
      <c r="N107" s="38" t="inlineStr"/>
      <c r="O107" s="38" t="n"/>
      <c r="P107" s="40">
        <f>IF(AND($B107&gt;=CurMonthStart,$B107&lt;=CurMonthEnd),$K107,0)</f>
        <v/>
      </c>
    </row>
    <row r="108">
      <c r="A108" s="38">
        <f>ROW()-5</f>
        <v/>
      </c>
      <c r="B108" s="39" t="n">
        <v>46074</v>
      </c>
      <c r="C108" s="38" t="inlineStr">
        <is>
          <t>Comcast Xfinity</t>
        </is>
      </c>
      <c r="D108" s="38">
        <f>IFERROR(INDEX(Dim_Vendor[VendorID],MATCH($C108,Dim_Vendor[VendorName],0)),"")</f>
        <v/>
      </c>
      <c r="E108" s="38" t="inlineStr">
        <is>
          <t>Utilities</t>
        </is>
      </c>
      <c r="F108" s="38">
        <f>IFERROR(INDEX(Dim_Category[CategoryID],MATCH($E108,Dim_Category[CategoryName],0)),"")</f>
        <v/>
      </c>
      <c r="G108" s="38" t="inlineStr">
        <is>
          <t>Checking</t>
        </is>
      </c>
      <c r="H108" s="38">
        <f>IFERROR(INDEX(Dim_Account[AccountID],MATCH($G108,Dim_Account[AccountName],0)),"")</f>
        <v/>
      </c>
      <c r="I108" s="38" t="inlineStr">
        <is>
          <t>ACH</t>
        </is>
      </c>
      <c r="J108" s="38">
        <f>IFERROR(INDEX(Dim_PaymentMethod[PaymentMethodID],MATCH($I108,Dim_PaymentMethod[MethodName],0)),"")</f>
        <v/>
      </c>
      <c r="K108" s="40" t="n">
        <v>74.98999999999999</v>
      </c>
      <c r="L108" s="38" t="inlineStr">
        <is>
          <t>Need</t>
        </is>
      </c>
      <c r="M108" s="38" t="inlineStr">
        <is>
          <t>Yes</t>
        </is>
      </c>
      <c r="N108" s="38" t="inlineStr">
        <is>
          <t>Internet</t>
        </is>
      </c>
      <c r="O108" s="38" t="n"/>
      <c r="P108" s="40">
        <f>IF(AND($B108&gt;=CurMonthStart,$B108&lt;=CurMonthEnd),$K108,0)</f>
        <v/>
      </c>
    </row>
    <row r="109">
      <c r="A109" s="38">
        <f>ROW()-5</f>
        <v/>
      </c>
      <c r="B109" s="39" t="n">
        <v>46077</v>
      </c>
      <c r="C109" s="38" t="inlineStr">
        <is>
          <t>Verizon Wireless</t>
        </is>
      </c>
      <c r="D109" s="38">
        <f>IFERROR(INDEX(Dim_Vendor[VendorID],MATCH($C109,Dim_Vendor[VendorName],0)),"")</f>
        <v/>
      </c>
      <c r="E109" s="38" t="inlineStr">
        <is>
          <t>Utilities</t>
        </is>
      </c>
      <c r="F109" s="38">
        <f>IFERROR(INDEX(Dim_Category[CategoryID],MATCH($E109,Dim_Category[CategoryName],0)),"")</f>
        <v/>
      </c>
      <c r="G109" s="38" t="inlineStr">
        <is>
          <t>Checking</t>
        </is>
      </c>
      <c r="H109" s="38">
        <f>IFERROR(INDEX(Dim_Account[AccountID],MATCH($G109,Dim_Account[AccountName],0)),"")</f>
        <v/>
      </c>
      <c r="I109" s="38" t="inlineStr">
        <is>
          <t>ACH</t>
        </is>
      </c>
      <c r="J109" s="38">
        <f>IFERROR(INDEX(Dim_PaymentMethod[PaymentMethodID],MATCH($I109,Dim_PaymentMethod[MethodName],0)),"")</f>
        <v/>
      </c>
      <c r="K109" s="40" t="n">
        <v>96.94</v>
      </c>
      <c r="L109" s="38" t="inlineStr">
        <is>
          <t>Need</t>
        </is>
      </c>
      <c r="M109" s="38" t="inlineStr">
        <is>
          <t>Yes</t>
        </is>
      </c>
      <c r="N109" s="38" t="inlineStr">
        <is>
          <t>Mobile phone</t>
        </is>
      </c>
      <c r="O109" s="38" t="n"/>
      <c r="P109" s="40">
        <f>IF(AND($B109&gt;=CurMonthStart,$B109&lt;=CurMonthEnd),$K109,0)</f>
        <v/>
      </c>
    </row>
    <row r="110">
      <c r="A110" s="38">
        <f>ROW()-5</f>
        <v/>
      </c>
      <c r="B110" s="39" t="n">
        <v>46080</v>
      </c>
      <c r="C110" s="38" t="inlineStr">
        <is>
          <t>State Farm Insurance</t>
        </is>
      </c>
      <c r="D110" s="38">
        <f>IFERROR(INDEX(Dim_Vendor[VendorID],MATCH($C110,Dim_Vendor[VendorName],0)),"")</f>
        <v/>
      </c>
      <c r="E110" s="38" t="inlineStr">
        <is>
          <t>Insurance</t>
        </is>
      </c>
      <c r="F110" s="38">
        <f>IFERROR(INDEX(Dim_Category[CategoryID],MATCH($E110,Dim_Category[CategoryName],0)),"")</f>
        <v/>
      </c>
      <c r="G110" s="38" t="inlineStr">
        <is>
          <t>Checking</t>
        </is>
      </c>
      <c r="H110" s="38">
        <f>IFERROR(INDEX(Dim_Account[AccountID],MATCH($G110,Dim_Account[AccountName],0)),"")</f>
        <v/>
      </c>
      <c r="I110" s="38" t="inlineStr">
        <is>
          <t>ACH</t>
        </is>
      </c>
      <c r="J110" s="38">
        <f>IFERROR(INDEX(Dim_PaymentMethod[PaymentMethodID],MATCH($I110,Dim_PaymentMethod[MethodName],0)),"")</f>
        <v/>
      </c>
      <c r="K110" s="40" t="n">
        <v>148.64</v>
      </c>
      <c r="L110" s="38" t="inlineStr">
        <is>
          <t>Need</t>
        </is>
      </c>
      <c r="M110" s="38" t="inlineStr">
        <is>
          <t>Yes</t>
        </is>
      </c>
      <c r="N110" s="38" t="inlineStr">
        <is>
          <t>Auto + home insurance</t>
        </is>
      </c>
      <c r="O110" s="38" t="n"/>
      <c r="P110" s="40">
        <f>IF(AND($B110&gt;=CurMonthStart,$B110&lt;=CurMonthEnd),$K110,0)</f>
        <v/>
      </c>
    </row>
    <row r="111">
      <c r="A111" s="38">
        <f>ROW()-5</f>
        <v/>
      </c>
      <c r="B111" s="39" t="n">
        <v>46056</v>
      </c>
      <c r="C111" s="38" t="inlineStr">
        <is>
          <t>Kaiser Permanente</t>
        </is>
      </c>
      <c r="D111" s="38">
        <f>IFERROR(INDEX(Dim_Vendor[VendorID],MATCH($C111,Dim_Vendor[VendorName],0)),"")</f>
        <v/>
      </c>
      <c r="E111" s="38" t="inlineStr">
        <is>
          <t>Healthcare</t>
        </is>
      </c>
      <c r="F111" s="38">
        <f>IFERROR(INDEX(Dim_Category[CategoryID],MATCH($E111,Dim_Category[CategoryName],0)),"")</f>
        <v/>
      </c>
      <c r="G111" s="38" t="inlineStr">
        <is>
          <t>Credit Card</t>
        </is>
      </c>
      <c r="H111" s="38">
        <f>IFERROR(INDEX(Dim_Account[AccountID],MATCH($G111,Dim_Account[AccountName],0)),"")</f>
        <v/>
      </c>
      <c r="I111" s="38" t="inlineStr">
        <is>
          <t>Credit Card</t>
        </is>
      </c>
      <c r="J111" s="38">
        <f>IFERROR(INDEX(Dim_PaymentMethod[PaymentMethodID],MATCH($I111,Dim_PaymentMethod[MethodName],0)),"")</f>
        <v/>
      </c>
      <c r="K111" s="40" t="n">
        <v>44.44</v>
      </c>
      <c r="L111" s="38" t="inlineStr">
        <is>
          <t>Need</t>
        </is>
      </c>
      <c r="M111" s="38" t="inlineStr">
        <is>
          <t>No</t>
        </is>
      </c>
      <c r="N111" s="38" t="inlineStr">
        <is>
          <t>Copay</t>
        </is>
      </c>
      <c r="O111" s="38" t="n"/>
      <c r="P111" s="40">
        <f>IF(AND($B111&gt;=CurMonthStart,$B111&lt;=CurMonthEnd),$K111,0)</f>
        <v/>
      </c>
    </row>
    <row r="112">
      <c r="A112" s="38">
        <f>ROW()-5</f>
        <v/>
      </c>
      <c r="B112" s="39" t="n">
        <v>46059</v>
      </c>
      <c r="C112" s="38" t="inlineStr">
        <is>
          <t>Chipotle</t>
        </is>
      </c>
      <c r="D112" s="38">
        <f>IFERROR(INDEX(Dim_Vendor[VendorID],MATCH($C112,Dim_Vendor[VendorName],0)),"")</f>
        <v/>
      </c>
      <c r="E112" s="38" t="inlineStr">
        <is>
          <t>Dining &amp; Entertainment</t>
        </is>
      </c>
      <c r="F112" s="38">
        <f>IFERROR(INDEX(Dim_Category[CategoryID],MATCH($E112,Dim_Category[CategoryName],0)),"")</f>
        <v/>
      </c>
      <c r="G112" s="38" t="inlineStr">
        <is>
          <t>Credit Card</t>
        </is>
      </c>
      <c r="H112" s="38">
        <f>IFERROR(INDEX(Dim_Account[AccountID],MATCH($G112,Dim_Account[AccountName],0)),"")</f>
        <v/>
      </c>
      <c r="I112" s="38" t="inlineStr">
        <is>
          <t>Credit Card</t>
        </is>
      </c>
      <c r="J112" s="38">
        <f>IFERROR(INDEX(Dim_PaymentMethod[PaymentMethodID],MATCH($I112,Dim_PaymentMethod[MethodName],0)),"")</f>
        <v/>
      </c>
      <c r="K112" s="40" t="n">
        <v>14.25</v>
      </c>
      <c r="L112" s="38" t="inlineStr">
        <is>
          <t>Want</t>
        </is>
      </c>
      <c r="M112" s="38" t="inlineStr">
        <is>
          <t>No</t>
        </is>
      </c>
      <c r="N112" s="38" t="inlineStr"/>
      <c r="O112" s="38" t="n"/>
      <c r="P112" s="40">
        <f>IF(AND($B112&gt;=CurMonthStart,$B112&lt;=CurMonthEnd),$K112,0)</f>
        <v/>
      </c>
    </row>
    <row r="113">
      <c r="A113" s="38">
        <f>ROW()-5</f>
        <v/>
      </c>
      <c r="B113" s="39" t="n">
        <v>46062</v>
      </c>
      <c r="C113" s="38" t="inlineStr">
        <is>
          <t>Netflix</t>
        </is>
      </c>
      <c r="D113" s="38">
        <f>IFERROR(INDEX(Dim_Vendor[VendorID],MATCH($C113,Dim_Vendor[VendorName],0)),"")</f>
        <v/>
      </c>
      <c r="E113" s="38" t="inlineStr">
        <is>
          <t>Dining &amp; Entertainment</t>
        </is>
      </c>
      <c r="F113" s="38">
        <f>IFERROR(INDEX(Dim_Category[CategoryID],MATCH($E113,Dim_Category[CategoryName],0)),"")</f>
        <v/>
      </c>
      <c r="G113" s="38" t="inlineStr">
        <is>
          <t>Credit Card</t>
        </is>
      </c>
      <c r="H113" s="38">
        <f>IFERROR(INDEX(Dim_Account[AccountID],MATCH($G113,Dim_Account[AccountName],0)),"")</f>
        <v/>
      </c>
      <c r="I113" s="38" t="inlineStr">
        <is>
          <t>Credit Card</t>
        </is>
      </c>
      <c r="J113" s="38">
        <f>IFERROR(INDEX(Dim_PaymentMethod[PaymentMethodID],MATCH($I113,Dim_PaymentMethod[MethodName],0)),"")</f>
        <v/>
      </c>
      <c r="K113" s="40" t="n">
        <v>15.49</v>
      </c>
      <c r="L113" s="38" t="inlineStr">
        <is>
          <t>Want</t>
        </is>
      </c>
      <c r="M113" s="38" t="inlineStr">
        <is>
          <t>Yes</t>
        </is>
      </c>
      <c r="N113" s="38" t="inlineStr">
        <is>
          <t>Streaming subscription</t>
        </is>
      </c>
      <c r="O113" s="38" t="n"/>
      <c r="P113" s="40">
        <f>IF(AND($B113&gt;=CurMonthStart,$B113&lt;=CurMonthEnd),$K113,0)</f>
        <v/>
      </c>
    </row>
    <row r="114">
      <c r="A114" s="38">
        <f>ROW()-5</f>
        <v/>
      </c>
      <c r="B114" s="39" t="n">
        <v>46065</v>
      </c>
      <c r="C114" s="38" t="inlineStr">
        <is>
          <t>AMC Theatres</t>
        </is>
      </c>
      <c r="D114" s="38">
        <f>IFERROR(INDEX(Dim_Vendor[VendorID],MATCH($C114,Dim_Vendor[VendorName],0)),"")</f>
        <v/>
      </c>
      <c r="E114" s="38" t="inlineStr">
        <is>
          <t>Dining &amp; Entertainment</t>
        </is>
      </c>
      <c r="F114" s="38">
        <f>IFERROR(INDEX(Dim_Category[CategoryID],MATCH($E114,Dim_Category[CategoryName],0)),"")</f>
        <v/>
      </c>
      <c r="G114" s="38" t="inlineStr">
        <is>
          <t>Credit Card</t>
        </is>
      </c>
      <c r="H114" s="38">
        <f>IFERROR(INDEX(Dim_Account[AccountID],MATCH($G114,Dim_Account[AccountName],0)),"")</f>
        <v/>
      </c>
      <c r="I114" s="38" t="inlineStr">
        <is>
          <t>Credit Card</t>
        </is>
      </c>
      <c r="J114" s="38">
        <f>IFERROR(INDEX(Dim_PaymentMethod[PaymentMethodID],MATCH($I114,Dim_PaymentMethod[MethodName],0)),"")</f>
        <v/>
      </c>
      <c r="K114" s="40" t="n">
        <v>29.77</v>
      </c>
      <c r="L114" s="38" t="inlineStr">
        <is>
          <t>Want</t>
        </is>
      </c>
      <c r="M114" s="38" t="inlineStr">
        <is>
          <t>No</t>
        </is>
      </c>
      <c r="N114" s="38" t="inlineStr"/>
      <c r="O114" s="38" t="n"/>
      <c r="P114" s="40">
        <f>IF(AND($B114&gt;=CurMonthStart,$B114&lt;=CurMonthEnd),$K114,0)</f>
        <v/>
      </c>
    </row>
    <row r="115">
      <c r="A115" s="38">
        <f>ROW()-5</f>
        <v/>
      </c>
      <c r="B115" s="39" t="n">
        <v>46068</v>
      </c>
      <c r="C115" s="38" t="inlineStr">
        <is>
          <t>Planet Fitness</t>
        </is>
      </c>
      <c r="D115" s="38">
        <f>IFERROR(INDEX(Dim_Vendor[VendorID],MATCH($C115,Dim_Vendor[VendorName],0)),"")</f>
        <v/>
      </c>
      <c r="E115" s="38" t="inlineStr">
        <is>
          <t>Personal Care</t>
        </is>
      </c>
      <c r="F115" s="38">
        <f>IFERROR(INDEX(Dim_Category[CategoryID],MATCH($E115,Dim_Category[CategoryName],0)),"")</f>
        <v/>
      </c>
      <c r="G115" s="38" t="inlineStr">
        <is>
          <t>Checking</t>
        </is>
      </c>
      <c r="H115" s="38">
        <f>IFERROR(INDEX(Dim_Account[AccountID],MATCH($G115,Dim_Account[AccountName],0)),"")</f>
        <v/>
      </c>
      <c r="I115" s="38" t="inlineStr">
        <is>
          <t>ACH</t>
        </is>
      </c>
      <c r="J115" s="38">
        <f>IFERROR(INDEX(Dim_PaymentMethod[PaymentMethodID],MATCH($I115,Dim_PaymentMethod[MethodName],0)),"")</f>
        <v/>
      </c>
      <c r="K115" s="40" t="n">
        <v>24.52</v>
      </c>
      <c r="L115" s="38" t="inlineStr">
        <is>
          <t>Want</t>
        </is>
      </c>
      <c r="M115" s="38" t="inlineStr">
        <is>
          <t>Yes</t>
        </is>
      </c>
      <c r="N115" s="38" t="inlineStr">
        <is>
          <t>Gym membership</t>
        </is>
      </c>
      <c r="O115" s="38" t="n"/>
      <c r="P115" s="40">
        <f>IF(AND($B115&gt;=CurMonthStart,$B115&lt;=CurMonthEnd),$K115,0)</f>
        <v/>
      </c>
    </row>
    <row r="116">
      <c r="A116" s="38">
        <f>ROW()-5</f>
        <v/>
      </c>
      <c r="B116" s="39" t="n">
        <v>46071</v>
      </c>
      <c r="C116" s="38" t="inlineStr">
        <is>
          <t>Amazon</t>
        </is>
      </c>
      <c r="D116" s="38">
        <f>IFERROR(INDEX(Dim_Vendor[VendorID],MATCH($C116,Dim_Vendor[VendorName],0)),"")</f>
        <v/>
      </c>
      <c r="E116" s="38" t="inlineStr">
        <is>
          <t>Shopping</t>
        </is>
      </c>
      <c r="F116" s="38">
        <f>IFERROR(INDEX(Dim_Category[CategoryID],MATCH($E116,Dim_Category[CategoryName],0)),"")</f>
        <v/>
      </c>
      <c r="G116" s="38" t="inlineStr">
        <is>
          <t>Credit Card</t>
        </is>
      </c>
      <c r="H116" s="38">
        <f>IFERROR(INDEX(Dim_Account[AccountID],MATCH($G116,Dim_Account[AccountName],0)),"")</f>
        <v/>
      </c>
      <c r="I116" s="38" t="inlineStr">
        <is>
          <t>Credit Card</t>
        </is>
      </c>
      <c r="J116" s="38">
        <f>IFERROR(INDEX(Dim_PaymentMethod[PaymentMethodID],MATCH($I116,Dim_PaymentMethod[MethodName],0)),"")</f>
        <v/>
      </c>
      <c r="K116" s="40" t="n">
        <v>73.91</v>
      </c>
      <c r="L116" s="38" t="inlineStr">
        <is>
          <t>Want</t>
        </is>
      </c>
      <c r="M116" s="38" t="inlineStr">
        <is>
          <t>No</t>
        </is>
      </c>
      <c r="N116" s="38" t="inlineStr"/>
      <c r="O116" s="38" t="n"/>
      <c r="P116" s="40">
        <f>IF(AND($B116&gt;=CurMonthStart,$B116&lt;=CurMonthEnd),$K116,0)</f>
        <v/>
      </c>
    </row>
    <row r="117">
      <c r="A117" s="38">
        <f>ROW()-5</f>
        <v/>
      </c>
      <c r="B117" s="39" t="n">
        <v>46074</v>
      </c>
      <c r="C117" s="38" t="inlineStr">
        <is>
          <t>Target</t>
        </is>
      </c>
      <c r="D117" s="38">
        <f>IFERROR(INDEX(Dim_Vendor[VendorID],MATCH($C117,Dim_Vendor[VendorName],0)),"")</f>
        <v/>
      </c>
      <c r="E117" s="38" t="inlineStr">
        <is>
          <t>Shopping</t>
        </is>
      </c>
      <c r="F117" s="38">
        <f>IFERROR(INDEX(Dim_Category[CategoryID],MATCH($E117,Dim_Category[CategoryName],0)),"")</f>
        <v/>
      </c>
      <c r="G117" s="38" t="inlineStr">
        <is>
          <t>Credit Card</t>
        </is>
      </c>
      <c r="H117" s="38">
        <f>IFERROR(INDEX(Dim_Account[AccountID],MATCH($G117,Dim_Account[AccountName],0)),"")</f>
        <v/>
      </c>
      <c r="I117" s="38" t="inlineStr">
        <is>
          <t>Credit Card</t>
        </is>
      </c>
      <c r="J117" s="38">
        <f>IFERROR(INDEX(Dim_PaymentMethod[PaymentMethodID],MATCH($I117,Dim_PaymentMethod[MethodName],0)),"")</f>
        <v/>
      </c>
      <c r="K117" s="40" t="n">
        <v>54.57</v>
      </c>
      <c r="L117" s="38" t="inlineStr">
        <is>
          <t>Want</t>
        </is>
      </c>
      <c r="M117" s="38" t="inlineStr">
        <is>
          <t>No</t>
        </is>
      </c>
      <c r="N117" s="38" t="inlineStr"/>
      <c r="O117" s="38" t="n"/>
      <c r="P117" s="40">
        <f>IF(AND($B117&gt;=CurMonthStart,$B117&lt;=CurMonthEnd),$K117,0)</f>
        <v/>
      </c>
    </row>
    <row r="118">
      <c r="A118" s="38">
        <f>ROW()-5</f>
        <v/>
      </c>
      <c r="B118" s="39" t="n">
        <v>46084</v>
      </c>
      <c r="C118" s="38" t="inlineStr">
        <is>
          <t>Mortgage Lender</t>
        </is>
      </c>
      <c r="D118" s="38">
        <f>IFERROR(INDEX(Dim_Vendor[VendorID],MATCH($C118,Dim_Vendor[VendorName],0)),"")</f>
        <v/>
      </c>
      <c r="E118" s="38" t="inlineStr">
        <is>
          <t>Mortgage</t>
        </is>
      </c>
      <c r="F118" s="38">
        <f>IFERROR(INDEX(Dim_Category[CategoryID],MATCH($E118,Dim_Category[CategoryName],0)),"")</f>
        <v/>
      </c>
      <c r="G118" s="38" t="inlineStr">
        <is>
          <t>Checking</t>
        </is>
      </c>
      <c r="H118" s="38">
        <f>IFERROR(INDEX(Dim_Account[AccountID],MATCH($G118,Dim_Account[AccountName],0)),"")</f>
        <v/>
      </c>
      <c r="I118" s="38" t="inlineStr">
        <is>
          <t>ACH</t>
        </is>
      </c>
      <c r="J118" s="38">
        <f>IFERROR(INDEX(Dim_PaymentMethod[PaymentMethodID],MATCH($I118,Dim_PaymentMethod[MethodName],0)),"")</f>
        <v/>
      </c>
      <c r="K118" s="40" t="n">
        <v>2312.05</v>
      </c>
      <c r="L118" s="38" t="inlineStr">
        <is>
          <t>Need</t>
        </is>
      </c>
      <c r="M118" s="38" t="inlineStr">
        <is>
          <t>Yes</t>
        </is>
      </c>
      <c r="N118" s="38" t="inlineStr">
        <is>
          <t>Monthly mortgage payment</t>
        </is>
      </c>
      <c r="O118" s="38" t="n"/>
      <c r="P118" s="40">
        <f>IF(AND($B118&gt;=CurMonthStart,$B118&lt;=CurMonthEnd),$K118,0)</f>
        <v/>
      </c>
    </row>
    <row r="119">
      <c r="A119" s="38">
        <f>ROW()-5</f>
        <v/>
      </c>
      <c r="B119" s="39" t="n">
        <v>46087</v>
      </c>
      <c r="C119" s="38" t="inlineStr">
        <is>
          <t>Whole Foods</t>
        </is>
      </c>
      <c r="D119" s="38">
        <f>IFERROR(INDEX(Dim_Vendor[VendorID],MATCH($C119,Dim_Vendor[VendorName],0)),"")</f>
        <v/>
      </c>
      <c r="E119" s="38" t="inlineStr">
        <is>
          <t>Groceries</t>
        </is>
      </c>
      <c r="F119" s="38">
        <f>IFERROR(INDEX(Dim_Category[CategoryID],MATCH($E119,Dim_Category[CategoryName],0)),"")</f>
        <v/>
      </c>
      <c r="G119" s="38" t="inlineStr">
        <is>
          <t>Credit Card</t>
        </is>
      </c>
      <c r="H119" s="38">
        <f>IFERROR(INDEX(Dim_Account[AccountID],MATCH($G119,Dim_Account[AccountName],0)),"")</f>
        <v/>
      </c>
      <c r="I119" s="38" t="inlineStr">
        <is>
          <t>Credit Card</t>
        </is>
      </c>
      <c r="J119" s="38">
        <f>IFERROR(INDEX(Dim_PaymentMethod[PaymentMethodID],MATCH($I119,Dim_PaymentMethod[MethodName],0)),"")</f>
        <v/>
      </c>
      <c r="K119" s="40" t="n">
        <v>197.18</v>
      </c>
      <c r="L119" s="38" t="inlineStr">
        <is>
          <t>Need</t>
        </is>
      </c>
      <c r="M119" s="38" t="inlineStr">
        <is>
          <t>No</t>
        </is>
      </c>
      <c r="N119" s="38" t="inlineStr"/>
      <c r="O119" s="38" t="n"/>
      <c r="P119" s="40">
        <f>IF(AND($B119&gt;=CurMonthStart,$B119&lt;=CurMonthEnd),$K119,0)</f>
        <v/>
      </c>
    </row>
    <row r="120">
      <c r="A120" s="38">
        <f>ROW()-5</f>
        <v/>
      </c>
      <c r="B120" s="39" t="n">
        <v>46090</v>
      </c>
      <c r="C120" s="38" t="inlineStr">
        <is>
          <t>Costco</t>
        </is>
      </c>
      <c r="D120" s="38">
        <f>IFERROR(INDEX(Dim_Vendor[VendorID],MATCH($C120,Dim_Vendor[VendorName],0)),"")</f>
        <v/>
      </c>
      <c r="E120" s="38" t="inlineStr">
        <is>
          <t>Groceries</t>
        </is>
      </c>
      <c r="F120" s="38">
        <f>IFERROR(INDEX(Dim_Category[CategoryID],MATCH($E120,Dim_Category[CategoryName],0)),"")</f>
        <v/>
      </c>
      <c r="G120" s="38" t="inlineStr">
        <is>
          <t>Credit Card</t>
        </is>
      </c>
      <c r="H120" s="38">
        <f>IFERROR(INDEX(Dim_Account[AccountID],MATCH($G120,Dim_Account[AccountName],0)),"")</f>
        <v/>
      </c>
      <c r="I120" s="38" t="inlineStr">
        <is>
          <t>Credit Card</t>
        </is>
      </c>
      <c r="J120" s="38">
        <f>IFERROR(INDEX(Dim_PaymentMethod[PaymentMethodID],MATCH($I120,Dim_PaymentMethod[MethodName],0)),"")</f>
        <v/>
      </c>
      <c r="K120" s="40" t="n">
        <v>225.94</v>
      </c>
      <c r="L120" s="38" t="inlineStr">
        <is>
          <t>Need</t>
        </is>
      </c>
      <c r="M120" s="38" t="inlineStr">
        <is>
          <t>No</t>
        </is>
      </c>
      <c r="N120" s="38" t="inlineStr">
        <is>
          <t>Bulk groceries</t>
        </is>
      </c>
      <c r="O120" s="38" t="n"/>
      <c r="P120" s="40">
        <f>IF(AND($B120&gt;=CurMonthStart,$B120&lt;=CurMonthEnd),$K120,0)</f>
        <v/>
      </c>
    </row>
    <row r="121">
      <c r="A121" s="38">
        <f>ROW()-5</f>
        <v/>
      </c>
      <c r="B121" s="39" t="n">
        <v>46093</v>
      </c>
      <c r="C121" s="38" t="inlineStr">
        <is>
          <t>Shell Gas Station</t>
        </is>
      </c>
      <c r="D121" s="38">
        <f>IFERROR(INDEX(Dim_Vendor[VendorID],MATCH($C121,Dim_Vendor[VendorName],0)),"")</f>
        <v/>
      </c>
      <c r="E121" s="38" t="inlineStr">
        <is>
          <t>Car</t>
        </is>
      </c>
      <c r="F121" s="38">
        <f>IFERROR(INDEX(Dim_Category[CategoryID],MATCH($E121,Dim_Category[CategoryName],0)),"")</f>
        <v/>
      </c>
      <c r="G121" s="38" t="inlineStr">
        <is>
          <t>Credit Card</t>
        </is>
      </c>
      <c r="H121" s="38">
        <f>IFERROR(INDEX(Dim_Account[AccountID],MATCH($G121,Dim_Account[AccountName],0)),"")</f>
        <v/>
      </c>
      <c r="I121" s="38" t="inlineStr">
        <is>
          <t>Credit Card</t>
        </is>
      </c>
      <c r="J121" s="38">
        <f>IFERROR(INDEX(Dim_PaymentMethod[PaymentMethodID],MATCH($I121,Dim_PaymentMethod[MethodName],0)),"")</f>
        <v/>
      </c>
      <c r="K121" s="40" t="n">
        <v>54.15</v>
      </c>
      <c r="L121" s="38" t="inlineStr">
        <is>
          <t>Need</t>
        </is>
      </c>
      <c r="M121" s="38" t="inlineStr">
        <is>
          <t>No</t>
        </is>
      </c>
      <c r="N121" s="38" t="inlineStr">
        <is>
          <t>Gas</t>
        </is>
      </c>
      <c r="O121" s="38" t="n"/>
      <c r="P121" s="40">
        <f>IF(AND($B121&gt;=CurMonthStart,$B121&lt;=CurMonthEnd),$K121,0)</f>
        <v/>
      </c>
    </row>
    <row r="122">
      <c r="A122" s="38">
        <f>ROW()-5</f>
        <v/>
      </c>
      <c r="B122" s="39" t="n">
        <v>46096</v>
      </c>
      <c r="C122" s="38" t="inlineStr">
        <is>
          <t>AutoZone</t>
        </is>
      </c>
      <c r="D122" s="38">
        <f>IFERROR(INDEX(Dim_Vendor[VendorID],MATCH($C122,Dim_Vendor[VendorName],0)),"")</f>
        <v/>
      </c>
      <c r="E122" s="38" t="inlineStr">
        <is>
          <t>Car</t>
        </is>
      </c>
      <c r="F122" s="38">
        <f>IFERROR(INDEX(Dim_Category[CategoryID],MATCH($E122,Dim_Category[CategoryName],0)),"")</f>
        <v/>
      </c>
      <c r="G122" s="38" t="inlineStr">
        <is>
          <t>Credit Card</t>
        </is>
      </c>
      <c r="H122" s="38">
        <f>IFERROR(INDEX(Dim_Account[AccountID],MATCH($G122,Dim_Account[AccountName],0)),"")</f>
        <v/>
      </c>
      <c r="I122" s="38" t="inlineStr">
        <is>
          <t>Credit Card</t>
        </is>
      </c>
      <c r="J122" s="38">
        <f>IFERROR(INDEX(Dim_PaymentMethod[PaymentMethodID],MATCH($I122,Dim_PaymentMethod[MethodName],0)),"")</f>
        <v/>
      </c>
      <c r="K122" s="40" t="n">
        <v>39.88</v>
      </c>
      <c r="L122" s="38" t="inlineStr">
        <is>
          <t>Need</t>
        </is>
      </c>
      <c r="M122" s="38" t="inlineStr">
        <is>
          <t>No</t>
        </is>
      </c>
      <c r="N122" s="38" t="inlineStr">
        <is>
          <t>Wiper blades / oil</t>
        </is>
      </c>
      <c r="O122" s="38" t="n"/>
      <c r="P122" s="40">
        <f>IF(AND($B122&gt;=CurMonthStart,$B122&lt;=CurMonthEnd),$K122,0)</f>
        <v/>
      </c>
    </row>
    <row r="123">
      <c r="A123" s="38">
        <f>ROW()-5</f>
        <v/>
      </c>
      <c r="B123" s="39" t="n">
        <v>46099</v>
      </c>
      <c r="C123" s="38" t="inlineStr">
        <is>
          <t>City Electric Co</t>
        </is>
      </c>
      <c r="D123" s="38">
        <f>IFERROR(INDEX(Dim_Vendor[VendorID],MATCH($C123,Dim_Vendor[VendorName],0)),"")</f>
        <v/>
      </c>
      <c r="E123" s="38" t="inlineStr">
        <is>
          <t>Utilities</t>
        </is>
      </c>
      <c r="F123" s="38">
        <f>IFERROR(INDEX(Dim_Category[CategoryID],MATCH($E123,Dim_Category[CategoryName],0)),"")</f>
        <v/>
      </c>
      <c r="G123" s="38" t="inlineStr">
        <is>
          <t>Checking</t>
        </is>
      </c>
      <c r="H123" s="38">
        <f>IFERROR(INDEX(Dim_Account[AccountID],MATCH($G123,Dim_Account[AccountName],0)),"")</f>
        <v/>
      </c>
      <c r="I123" s="38" t="inlineStr">
        <is>
          <t>ACH</t>
        </is>
      </c>
      <c r="J123" s="38">
        <f>IFERROR(INDEX(Dim_PaymentMethod[PaymentMethodID],MATCH($I123,Dim_PaymentMethod[MethodName],0)),"")</f>
        <v/>
      </c>
      <c r="K123" s="40" t="n">
        <v>129.36</v>
      </c>
      <c r="L123" s="38" t="inlineStr">
        <is>
          <t>Need</t>
        </is>
      </c>
      <c r="M123" s="38" t="inlineStr">
        <is>
          <t>Yes</t>
        </is>
      </c>
      <c r="N123" s="38" t="inlineStr"/>
      <c r="O123" s="38" t="n"/>
      <c r="P123" s="40">
        <f>IF(AND($B123&gt;=CurMonthStart,$B123&lt;=CurMonthEnd),$K123,0)</f>
        <v/>
      </c>
    </row>
    <row r="124">
      <c r="A124" s="38">
        <f>ROW()-5</f>
        <v/>
      </c>
      <c r="B124" s="39" t="n">
        <v>46102</v>
      </c>
      <c r="C124" s="38" t="inlineStr">
        <is>
          <t>Comcast Xfinity</t>
        </is>
      </c>
      <c r="D124" s="38">
        <f>IFERROR(INDEX(Dim_Vendor[VendorID],MATCH($C124,Dim_Vendor[VendorName],0)),"")</f>
        <v/>
      </c>
      <c r="E124" s="38" t="inlineStr">
        <is>
          <t>Utilities</t>
        </is>
      </c>
      <c r="F124" s="38">
        <f>IFERROR(INDEX(Dim_Category[CategoryID],MATCH($E124,Dim_Category[CategoryName],0)),"")</f>
        <v/>
      </c>
      <c r="G124" s="38" t="inlineStr">
        <is>
          <t>Checking</t>
        </is>
      </c>
      <c r="H124" s="38">
        <f>IFERROR(INDEX(Dim_Account[AccountID],MATCH($G124,Dim_Account[AccountName],0)),"")</f>
        <v/>
      </c>
      <c r="I124" s="38" t="inlineStr">
        <is>
          <t>ACH</t>
        </is>
      </c>
      <c r="J124" s="38">
        <f>IFERROR(INDEX(Dim_PaymentMethod[PaymentMethodID],MATCH($I124,Dim_PaymentMethod[MethodName],0)),"")</f>
        <v/>
      </c>
      <c r="K124" s="40" t="n">
        <v>77.01000000000001</v>
      </c>
      <c r="L124" s="38" t="inlineStr">
        <is>
          <t>Need</t>
        </is>
      </c>
      <c r="M124" s="38" t="inlineStr">
        <is>
          <t>Yes</t>
        </is>
      </c>
      <c r="N124" s="38" t="inlineStr">
        <is>
          <t>Internet</t>
        </is>
      </c>
      <c r="O124" s="38" t="n"/>
      <c r="P124" s="40">
        <f>IF(AND($B124&gt;=CurMonthStart,$B124&lt;=CurMonthEnd),$K124,0)</f>
        <v/>
      </c>
    </row>
    <row r="125">
      <c r="A125" s="38">
        <f>ROW()-5</f>
        <v/>
      </c>
      <c r="B125" s="39" t="n">
        <v>46105</v>
      </c>
      <c r="C125" s="38" t="inlineStr">
        <is>
          <t>Verizon Wireless</t>
        </is>
      </c>
      <c r="D125" s="38">
        <f>IFERROR(INDEX(Dim_Vendor[VendorID],MATCH($C125,Dim_Vendor[VendorName],0)),"")</f>
        <v/>
      </c>
      <c r="E125" s="38" t="inlineStr">
        <is>
          <t>Utilities</t>
        </is>
      </c>
      <c r="F125" s="38">
        <f>IFERROR(INDEX(Dim_Category[CategoryID],MATCH($E125,Dim_Category[CategoryName],0)),"")</f>
        <v/>
      </c>
      <c r="G125" s="38" t="inlineStr">
        <is>
          <t>Checking</t>
        </is>
      </c>
      <c r="H125" s="38">
        <f>IFERROR(INDEX(Dim_Account[AccountID],MATCH($G125,Dim_Account[AccountName],0)),"")</f>
        <v/>
      </c>
      <c r="I125" s="38" t="inlineStr">
        <is>
          <t>ACH</t>
        </is>
      </c>
      <c r="J125" s="38">
        <f>IFERROR(INDEX(Dim_PaymentMethod[PaymentMethodID],MATCH($I125,Dim_PaymentMethod[MethodName],0)),"")</f>
        <v/>
      </c>
      <c r="K125" s="40" t="n">
        <v>97.14</v>
      </c>
      <c r="L125" s="38" t="inlineStr">
        <is>
          <t>Need</t>
        </is>
      </c>
      <c r="M125" s="38" t="inlineStr">
        <is>
          <t>Yes</t>
        </is>
      </c>
      <c r="N125" s="38" t="inlineStr">
        <is>
          <t>Mobile phone</t>
        </is>
      </c>
      <c r="O125" s="38" t="n"/>
      <c r="P125" s="40">
        <f>IF(AND($B125&gt;=CurMonthStart,$B125&lt;=CurMonthEnd),$K125,0)</f>
        <v/>
      </c>
    </row>
    <row r="126">
      <c r="A126" s="38">
        <f>ROW()-5</f>
        <v/>
      </c>
      <c r="B126" s="39" t="n">
        <v>46108</v>
      </c>
      <c r="C126" s="38" t="inlineStr">
        <is>
          <t>State Farm Insurance</t>
        </is>
      </c>
      <c r="D126" s="38">
        <f>IFERROR(INDEX(Dim_Vendor[VendorID],MATCH($C126,Dim_Vendor[VendorName],0)),"")</f>
        <v/>
      </c>
      <c r="E126" s="38" t="inlineStr">
        <is>
          <t>Insurance</t>
        </is>
      </c>
      <c r="F126" s="38">
        <f>IFERROR(INDEX(Dim_Category[CategoryID],MATCH($E126,Dim_Category[CategoryName],0)),"")</f>
        <v/>
      </c>
      <c r="G126" s="38" t="inlineStr">
        <is>
          <t>Checking</t>
        </is>
      </c>
      <c r="H126" s="38">
        <f>IFERROR(INDEX(Dim_Account[AccountID],MATCH($G126,Dim_Account[AccountName],0)),"")</f>
        <v/>
      </c>
      <c r="I126" s="38" t="inlineStr">
        <is>
          <t>ACH</t>
        </is>
      </c>
      <c r="J126" s="38">
        <f>IFERROR(INDEX(Dim_PaymentMethod[PaymentMethodID],MATCH($I126,Dim_PaymentMethod[MethodName],0)),"")</f>
        <v/>
      </c>
      <c r="K126" s="40" t="n">
        <v>133.17</v>
      </c>
      <c r="L126" s="38" t="inlineStr">
        <is>
          <t>Need</t>
        </is>
      </c>
      <c r="M126" s="38" t="inlineStr">
        <is>
          <t>Yes</t>
        </is>
      </c>
      <c r="N126" s="38" t="inlineStr">
        <is>
          <t>Auto + home insurance</t>
        </is>
      </c>
      <c r="O126" s="38" t="n"/>
      <c r="P126" s="40">
        <f>IF(AND($B126&gt;=CurMonthStart,$B126&lt;=CurMonthEnd),$K126,0)</f>
        <v/>
      </c>
    </row>
    <row r="127">
      <c r="A127" s="38">
        <f>ROW()-5</f>
        <v/>
      </c>
      <c r="B127" s="39" t="n">
        <v>46084</v>
      </c>
      <c r="C127" s="38" t="inlineStr">
        <is>
          <t>Kaiser Permanente</t>
        </is>
      </c>
      <c r="D127" s="38">
        <f>IFERROR(INDEX(Dim_Vendor[VendorID],MATCH($C127,Dim_Vendor[VendorName],0)),"")</f>
        <v/>
      </c>
      <c r="E127" s="38" t="inlineStr">
        <is>
          <t>Healthcare</t>
        </is>
      </c>
      <c r="F127" s="38">
        <f>IFERROR(INDEX(Dim_Category[CategoryID],MATCH($E127,Dim_Category[CategoryName],0)),"")</f>
        <v/>
      </c>
      <c r="G127" s="38" t="inlineStr">
        <is>
          <t>Credit Card</t>
        </is>
      </c>
      <c r="H127" s="38">
        <f>IFERROR(INDEX(Dim_Account[AccountID],MATCH($G127,Dim_Account[AccountName],0)),"")</f>
        <v/>
      </c>
      <c r="I127" s="38" t="inlineStr">
        <is>
          <t>Credit Card</t>
        </is>
      </c>
      <c r="J127" s="38">
        <f>IFERROR(INDEX(Dim_PaymentMethod[PaymentMethodID],MATCH($I127,Dim_PaymentMethod[MethodName],0)),"")</f>
        <v/>
      </c>
      <c r="K127" s="40" t="n">
        <v>44.53</v>
      </c>
      <c r="L127" s="38" t="inlineStr">
        <is>
          <t>Need</t>
        </is>
      </c>
      <c r="M127" s="38" t="inlineStr">
        <is>
          <t>No</t>
        </is>
      </c>
      <c r="N127" s="38" t="inlineStr">
        <is>
          <t>Copay</t>
        </is>
      </c>
      <c r="O127" s="38" t="n"/>
      <c r="P127" s="40">
        <f>IF(AND($B127&gt;=CurMonthStart,$B127&lt;=CurMonthEnd),$K127,0)</f>
        <v/>
      </c>
    </row>
    <row r="128">
      <c r="A128" s="38">
        <f>ROW()-5</f>
        <v/>
      </c>
      <c r="B128" s="39" t="n">
        <v>46087</v>
      </c>
      <c r="C128" s="38" t="inlineStr">
        <is>
          <t>Chipotle</t>
        </is>
      </c>
      <c r="D128" s="38">
        <f>IFERROR(INDEX(Dim_Vendor[VendorID],MATCH($C128,Dim_Vendor[VendorName],0)),"")</f>
        <v/>
      </c>
      <c r="E128" s="38" t="inlineStr">
        <is>
          <t>Dining &amp; Entertainment</t>
        </is>
      </c>
      <c r="F128" s="38">
        <f>IFERROR(INDEX(Dim_Category[CategoryID],MATCH($E128,Dim_Category[CategoryName],0)),"")</f>
        <v/>
      </c>
      <c r="G128" s="38" t="inlineStr">
        <is>
          <t>Credit Card</t>
        </is>
      </c>
      <c r="H128" s="38">
        <f>IFERROR(INDEX(Dim_Account[AccountID],MATCH($G128,Dim_Account[AccountName],0)),"")</f>
        <v/>
      </c>
      <c r="I128" s="38" t="inlineStr">
        <is>
          <t>Credit Card</t>
        </is>
      </c>
      <c r="J128" s="38">
        <f>IFERROR(INDEX(Dim_PaymentMethod[PaymentMethodID],MATCH($I128,Dim_PaymentMethod[MethodName],0)),"")</f>
        <v/>
      </c>
      <c r="K128" s="40" t="n">
        <v>14.25</v>
      </c>
      <c r="L128" s="38" t="inlineStr">
        <is>
          <t>Want</t>
        </is>
      </c>
      <c r="M128" s="38" t="inlineStr">
        <is>
          <t>No</t>
        </is>
      </c>
      <c r="N128" s="38" t="inlineStr"/>
      <c r="O128" s="38" t="n"/>
      <c r="P128" s="40">
        <f>IF(AND($B128&gt;=CurMonthStart,$B128&lt;=CurMonthEnd),$K128,0)</f>
        <v/>
      </c>
    </row>
    <row r="129">
      <c r="A129" s="38">
        <f>ROW()-5</f>
        <v/>
      </c>
      <c r="B129" s="39" t="n">
        <v>46090</v>
      </c>
      <c r="C129" s="38" t="inlineStr">
        <is>
          <t>Netflix</t>
        </is>
      </c>
      <c r="D129" s="38">
        <f>IFERROR(INDEX(Dim_Vendor[VendorID],MATCH($C129,Dim_Vendor[VendorName],0)),"")</f>
        <v/>
      </c>
      <c r="E129" s="38" t="inlineStr">
        <is>
          <t>Dining &amp; Entertainment</t>
        </is>
      </c>
      <c r="F129" s="38">
        <f>IFERROR(INDEX(Dim_Category[CategoryID],MATCH($E129,Dim_Category[CategoryName],0)),"")</f>
        <v/>
      </c>
      <c r="G129" s="38" t="inlineStr">
        <is>
          <t>Credit Card</t>
        </is>
      </c>
      <c r="H129" s="38">
        <f>IFERROR(INDEX(Dim_Account[AccountID],MATCH($G129,Dim_Account[AccountName],0)),"")</f>
        <v/>
      </c>
      <c r="I129" s="38" t="inlineStr">
        <is>
          <t>Credit Card</t>
        </is>
      </c>
      <c r="J129" s="38">
        <f>IFERROR(INDEX(Dim_PaymentMethod[PaymentMethodID],MATCH($I129,Dim_PaymentMethod[MethodName],0)),"")</f>
        <v/>
      </c>
      <c r="K129" s="40" t="n">
        <v>15.49</v>
      </c>
      <c r="L129" s="38" t="inlineStr">
        <is>
          <t>Want</t>
        </is>
      </c>
      <c r="M129" s="38" t="inlineStr">
        <is>
          <t>Yes</t>
        </is>
      </c>
      <c r="N129" s="38" t="inlineStr">
        <is>
          <t>Streaming subscription</t>
        </is>
      </c>
      <c r="O129" s="38" t="n"/>
      <c r="P129" s="40">
        <f>IF(AND($B129&gt;=CurMonthStart,$B129&lt;=CurMonthEnd),$K129,0)</f>
        <v/>
      </c>
    </row>
    <row r="130">
      <c r="A130" s="38">
        <f>ROW()-5</f>
        <v/>
      </c>
      <c r="B130" s="39" t="n">
        <v>46093</v>
      </c>
      <c r="C130" s="38" t="inlineStr">
        <is>
          <t>AMC Theatres</t>
        </is>
      </c>
      <c r="D130" s="38">
        <f>IFERROR(INDEX(Dim_Vendor[VendorID],MATCH($C130,Dim_Vendor[VendorName],0)),"")</f>
        <v/>
      </c>
      <c r="E130" s="38" t="inlineStr">
        <is>
          <t>Dining &amp; Entertainment</t>
        </is>
      </c>
      <c r="F130" s="38">
        <f>IFERROR(INDEX(Dim_Category[CategoryID],MATCH($E130,Dim_Category[CategoryName],0)),"")</f>
        <v/>
      </c>
      <c r="G130" s="38" t="inlineStr">
        <is>
          <t>Credit Card</t>
        </is>
      </c>
      <c r="H130" s="38">
        <f>IFERROR(INDEX(Dim_Account[AccountID],MATCH($G130,Dim_Account[AccountName],0)),"")</f>
        <v/>
      </c>
      <c r="I130" s="38" t="inlineStr">
        <is>
          <t>Credit Card</t>
        </is>
      </c>
      <c r="J130" s="38">
        <f>IFERROR(INDEX(Dim_PaymentMethod[PaymentMethodID],MATCH($I130,Dim_PaymentMethod[MethodName],0)),"")</f>
        <v/>
      </c>
      <c r="K130" s="40" t="n">
        <v>31.76</v>
      </c>
      <c r="L130" s="38" t="inlineStr">
        <is>
          <t>Want</t>
        </is>
      </c>
      <c r="M130" s="38" t="inlineStr">
        <is>
          <t>No</t>
        </is>
      </c>
      <c r="N130" s="38" t="inlineStr"/>
      <c r="O130" s="38" t="n"/>
      <c r="P130" s="40">
        <f>IF(AND($B130&gt;=CurMonthStart,$B130&lt;=CurMonthEnd),$K130,0)</f>
        <v/>
      </c>
    </row>
    <row r="131">
      <c r="A131" s="38">
        <f>ROW()-5</f>
        <v/>
      </c>
      <c r="B131" s="39" t="n">
        <v>46096</v>
      </c>
      <c r="C131" s="38" t="inlineStr">
        <is>
          <t>Planet Fitness</t>
        </is>
      </c>
      <c r="D131" s="38">
        <f>IFERROR(INDEX(Dim_Vendor[VendorID],MATCH($C131,Dim_Vendor[VendorName],0)),"")</f>
        <v/>
      </c>
      <c r="E131" s="38" t="inlineStr">
        <is>
          <t>Personal Care</t>
        </is>
      </c>
      <c r="F131" s="38">
        <f>IFERROR(INDEX(Dim_Category[CategoryID],MATCH($E131,Dim_Category[CategoryName],0)),"")</f>
        <v/>
      </c>
      <c r="G131" s="38" t="inlineStr">
        <is>
          <t>Checking</t>
        </is>
      </c>
      <c r="H131" s="38">
        <f>IFERROR(INDEX(Dim_Account[AccountID],MATCH($G131,Dim_Account[AccountName],0)),"")</f>
        <v/>
      </c>
      <c r="I131" s="38" t="inlineStr">
        <is>
          <t>ACH</t>
        </is>
      </c>
      <c r="J131" s="38">
        <f>IFERROR(INDEX(Dim_PaymentMethod[PaymentMethodID],MATCH($I131,Dim_PaymentMethod[MethodName],0)),"")</f>
        <v/>
      </c>
      <c r="K131" s="40" t="n">
        <v>26.8</v>
      </c>
      <c r="L131" s="38" t="inlineStr">
        <is>
          <t>Want</t>
        </is>
      </c>
      <c r="M131" s="38" t="inlineStr">
        <is>
          <t>Yes</t>
        </is>
      </c>
      <c r="N131" s="38" t="inlineStr">
        <is>
          <t>Gym membership</t>
        </is>
      </c>
      <c r="O131" s="38" t="n"/>
      <c r="P131" s="40">
        <f>IF(AND($B131&gt;=CurMonthStart,$B131&lt;=CurMonthEnd),$K131,0)</f>
        <v/>
      </c>
    </row>
    <row r="132">
      <c r="A132" s="38">
        <f>ROW()-5</f>
        <v/>
      </c>
      <c r="B132" s="39" t="n">
        <v>46099</v>
      </c>
      <c r="C132" s="38" t="inlineStr">
        <is>
          <t>Amazon</t>
        </is>
      </c>
      <c r="D132" s="38">
        <f>IFERROR(INDEX(Dim_Vendor[VendorID],MATCH($C132,Dim_Vendor[VendorName],0)),"")</f>
        <v/>
      </c>
      <c r="E132" s="38" t="inlineStr">
        <is>
          <t>Shopping</t>
        </is>
      </c>
      <c r="F132" s="38">
        <f>IFERROR(INDEX(Dim_Category[CategoryID],MATCH($E132,Dim_Category[CategoryName],0)),"")</f>
        <v/>
      </c>
      <c r="G132" s="38" t="inlineStr">
        <is>
          <t>Credit Card</t>
        </is>
      </c>
      <c r="H132" s="38">
        <f>IFERROR(INDEX(Dim_Account[AccountID],MATCH($G132,Dim_Account[AccountName],0)),"")</f>
        <v/>
      </c>
      <c r="I132" s="38" t="inlineStr">
        <is>
          <t>Credit Card</t>
        </is>
      </c>
      <c r="J132" s="38">
        <f>IFERROR(INDEX(Dim_PaymentMethod[PaymentMethodID],MATCH($I132,Dim_PaymentMethod[MethodName],0)),"")</f>
        <v/>
      </c>
      <c r="K132" s="40" t="n">
        <v>72.59</v>
      </c>
      <c r="L132" s="38" t="inlineStr">
        <is>
          <t>Want</t>
        </is>
      </c>
      <c r="M132" s="38" t="inlineStr">
        <is>
          <t>No</t>
        </is>
      </c>
      <c r="N132" s="38" t="inlineStr"/>
      <c r="O132" s="38" t="n"/>
      <c r="P132" s="40">
        <f>IF(AND($B132&gt;=CurMonthStart,$B132&lt;=CurMonthEnd),$K132,0)</f>
        <v/>
      </c>
    </row>
    <row r="133">
      <c r="A133" s="38">
        <f>ROW()-5</f>
        <v/>
      </c>
      <c r="B133" s="39" t="n">
        <v>46102</v>
      </c>
      <c r="C133" s="38" t="inlineStr">
        <is>
          <t>Target</t>
        </is>
      </c>
      <c r="D133" s="38">
        <f>IFERROR(INDEX(Dim_Vendor[VendorID],MATCH($C133,Dim_Vendor[VendorName],0)),"")</f>
        <v/>
      </c>
      <c r="E133" s="38" t="inlineStr">
        <is>
          <t>Shopping</t>
        </is>
      </c>
      <c r="F133" s="38">
        <f>IFERROR(INDEX(Dim_Category[CategoryID],MATCH($E133,Dim_Category[CategoryName],0)),"")</f>
        <v/>
      </c>
      <c r="G133" s="38" t="inlineStr">
        <is>
          <t>Credit Card</t>
        </is>
      </c>
      <c r="H133" s="38">
        <f>IFERROR(INDEX(Dim_Account[AccountID],MATCH($G133,Dim_Account[AccountName],0)),"")</f>
        <v/>
      </c>
      <c r="I133" s="38" t="inlineStr">
        <is>
          <t>Credit Card</t>
        </is>
      </c>
      <c r="J133" s="38">
        <f>IFERROR(INDEX(Dim_PaymentMethod[PaymentMethodID],MATCH($I133,Dim_PaymentMethod[MethodName],0)),"")</f>
        <v/>
      </c>
      <c r="K133" s="40" t="n">
        <v>52.26</v>
      </c>
      <c r="L133" s="38" t="inlineStr">
        <is>
          <t>Want</t>
        </is>
      </c>
      <c r="M133" s="38" t="inlineStr">
        <is>
          <t>No</t>
        </is>
      </c>
      <c r="N133" s="38" t="inlineStr"/>
      <c r="O133" s="38" t="n"/>
      <c r="P133" s="40">
        <f>IF(AND($B133&gt;=CurMonthStart,$B133&lt;=CurMonthEnd),$K133,0)</f>
        <v/>
      </c>
    </row>
    <row r="134">
      <c r="A134" s="38">
        <f>ROW()-5</f>
        <v/>
      </c>
      <c r="B134" s="39" t="n">
        <v>46115</v>
      </c>
      <c r="C134" s="38" t="inlineStr">
        <is>
          <t>Mortgage Lender</t>
        </is>
      </c>
      <c r="D134" s="38">
        <f>IFERROR(INDEX(Dim_Vendor[VendorID],MATCH($C134,Dim_Vendor[VendorName],0)),"")</f>
        <v/>
      </c>
      <c r="E134" s="38" t="inlineStr">
        <is>
          <t>Mortgage</t>
        </is>
      </c>
      <c r="F134" s="38">
        <f>IFERROR(INDEX(Dim_Category[CategoryID],MATCH($E134,Dim_Category[CategoryName],0)),"")</f>
        <v/>
      </c>
      <c r="G134" s="38" t="inlineStr">
        <is>
          <t>Checking</t>
        </is>
      </c>
      <c r="H134" s="38">
        <f>IFERROR(INDEX(Dim_Account[AccountID],MATCH($G134,Dim_Account[AccountName],0)),"")</f>
        <v/>
      </c>
      <c r="I134" s="38" t="inlineStr">
        <is>
          <t>ACH</t>
        </is>
      </c>
      <c r="J134" s="38">
        <f>IFERROR(INDEX(Dim_PaymentMethod[PaymentMethodID],MATCH($I134,Dim_PaymentMethod[MethodName],0)),"")</f>
        <v/>
      </c>
      <c r="K134" s="40" t="n">
        <v>2150.2</v>
      </c>
      <c r="L134" s="38" t="inlineStr">
        <is>
          <t>Need</t>
        </is>
      </c>
      <c r="M134" s="38" t="inlineStr">
        <is>
          <t>Yes</t>
        </is>
      </c>
      <c r="N134" s="38" t="inlineStr">
        <is>
          <t>Monthly mortgage payment</t>
        </is>
      </c>
      <c r="O134" s="38" t="n"/>
      <c r="P134" s="40">
        <f>IF(AND($B134&gt;=CurMonthStart,$B134&lt;=CurMonthEnd),$K134,0)</f>
        <v/>
      </c>
    </row>
    <row r="135">
      <c r="A135" s="38">
        <f>ROW()-5</f>
        <v/>
      </c>
      <c r="B135" s="39" t="n">
        <v>46118</v>
      </c>
      <c r="C135" s="38" t="inlineStr">
        <is>
          <t>Whole Foods</t>
        </is>
      </c>
      <c r="D135" s="38">
        <f>IFERROR(INDEX(Dim_Vendor[VendorID],MATCH($C135,Dim_Vendor[VendorName],0)),"")</f>
        <v/>
      </c>
      <c r="E135" s="38" t="inlineStr">
        <is>
          <t>Groceries</t>
        </is>
      </c>
      <c r="F135" s="38">
        <f>IFERROR(INDEX(Dim_Category[CategoryID],MATCH($E135,Dim_Category[CategoryName],0)),"")</f>
        <v/>
      </c>
      <c r="G135" s="38" t="inlineStr">
        <is>
          <t>Credit Card</t>
        </is>
      </c>
      <c r="H135" s="38">
        <f>IFERROR(INDEX(Dim_Account[AccountID],MATCH($G135,Dim_Account[AccountName],0)),"")</f>
        <v/>
      </c>
      <c r="I135" s="38" t="inlineStr">
        <is>
          <t>Credit Card</t>
        </is>
      </c>
      <c r="J135" s="38">
        <f>IFERROR(INDEX(Dim_PaymentMethod[PaymentMethodID],MATCH($I135,Dim_PaymentMethod[MethodName],0)),"")</f>
        <v/>
      </c>
      <c r="K135" s="40" t="n">
        <v>176.84</v>
      </c>
      <c r="L135" s="38" t="inlineStr">
        <is>
          <t>Need</t>
        </is>
      </c>
      <c r="M135" s="38" t="inlineStr">
        <is>
          <t>No</t>
        </is>
      </c>
      <c r="N135" s="38" t="inlineStr"/>
      <c r="O135" s="38" t="n"/>
      <c r="P135" s="40">
        <f>IF(AND($B135&gt;=CurMonthStart,$B135&lt;=CurMonthEnd),$K135,0)</f>
        <v/>
      </c>
    </row>
    <row r="136">
      <c r="A136" s="38">
        <f>ROW()-5</f>
        <v/>
      </c>
      <c r="B136" s="39" t="n">
        <v>46121</v>
      </c>
      <c r="C136" s="38" t="inlineStr">
        <is>
          <t>Costco</t>
        </is>
      </c>
      <c r="D136" s="38">
        <f>IFERROR(INDEX(Dim_Vendor[VendorID],MATCH($C136,Dim_Vendor[VendorName],0)),"")</f>
        <v/>
      </c>
      <c r="E136" s="38" t="inlineStr">
        <is>
          <t>Groceries</t>
        </is>
      </c>
      <c r="F136" s="38">
        <f>IFERROR(INDEX(Dim_Category[CategoryID],MATCH($E136,Dim_Category[CategoryName],0)),"")</f>
        <v/>
      </c>
      <c r="G136" s="38" t="inlineStr">
        <is>
          <t>Credit Card</t>
        </is>
      </c>
      <c r="H136" s="38">
        <f>IFERROR(INDEX(Dim_Account[AccountID],MATCH($G136,Dim_Account[AccountName],0)),"")</f>
        <v/>
      </c>
      <c r="I136" s="38" t="inlineStr">
        <is>
          <t>Credit Card</t>
        </is>
      </c>
      <c r="J136" s="38">
        <f>IFERROR(INDEX(Dim_PaymentMethod[PaymentMethodID],MATCH($I136,Dim_PaymentMethod[MethodName],0)),"")</f>
        <v/>
      </c>
      <c r="K136" s="40" t="n">
        <v>261.28</v>
      </c>
      <c r="L136" s="38" t="inlineStr">
        <is>
          <t>Need</t>
        </is>
      </c>
      <c r="M136" s="38" t="inlineStr">
        <is>
          <t>No</t>
        </is>
      </c>
      <c r="N136" s="38" t="inlineStr">
        <is>
          <t>Bulk groceries</t>
        </is>
      </c>
      <c r="O136" s="38" t="n"/>
      <c r="P136" s="40">
        <f>IF(AND($B136&gt;=CurMonthStart,$B136&lt;=CurMonthEnd),$K136,0)</f>
        <v/>
      </c>
    </row>
    <row r="137">
      <c r="A137" s="38">
        <f>ROW()-5</f>
        <v/>
      </c>
      <c r="B137" s="39" t="n">
        <v>46124</v>
      </c>
      <c r="C137" s="38" t="inlineStr">
        <is>
          <t>Shell Gas Station</t>
        </is>
      </c>
      <c r="D137" s="38">
        <f>IFERROR(INDEX(Dim_Vendor[VendorID],MATCH($C137,Dim_Vendor[VendorName],0)),"")</f>
        <v/>
      </c>
      <c r="E137" s="38" t="inlineStr">
        <is>
          <t>Car</t>
        </is>
      </c>
      <c r="F137" s="38">
        <f>IFERROR(INDEX(Dim_Category[CategoryID],MATCH($E137,Dim_Category[CategoryName],0)),"")</f>
        <v/>
      </c>
      <c r="G137" s="38" t="inlineStr">
        <is>
          <t>Credit Card</t>
        </is>
      </c>
      <c r="H137" s="38">
        <f>IFERROR(INDEX(Dim_Account[AccountID],MATCH($G137,Dim_Account[AccountName],0)),"")</f>
        <v/>
      </c>
      <c r="I137" s="38" t="inlineStr">
        <is>
          <t>Credit Card</t>
        </is>
      </c>
      <c r="J137" s="38">
        <f>IFERROR(INDEX(Dim_PaymentMethod[PaymentMethodID],MATCH($I137,Dim_PaymentMethod[MethodName],0)),"")</f>
        <v/>
      </c>
      <c r="K137" s="40" t="n">
        <v>55.4</v>
      </c>
      <c r="L137" s="38" t="inlineStr">
        <is>
          <t>Need</t>
        </is>
      </c>
      <c r="M137" s="38" t="inlineStr">
        <is>
          <t>No</t>
        </is>
      </c>
      <c r="N137" s="38" t="inlineStr">
        <is>
          <t>Gas</t>
        </is>
      </c>
      <c r="O137" s="38" t="n"/>
      <c r="P137" s="40">
        <f>IF(AND($B137&gt;=CurMonthStart,$B137&lt;=CurMonthEnd),$K137,0)</f>
        <v/>
      </c>
    </row>
    <row r="138">
      <c r="A138" s="38">
        <f>ROW()-5</f>
        <v/>
      </c>
      <c r="B138" s="39" t="n">
        <v>46127</v>
      </c>
      <c r="C138" s="38" t="inlineStr">
        <is>
          <t>AutoZone</t>
        </is>
      </c>
      <c r="D138" s="38">
        <f>IFERROR(INDEX(Dim_Vendor[VendorID],MATCH($C138,Dim_Vendor[VendorName],0)),"")</f>
        <v/>
      </c>
      <c r="E138" s="38" t="inlineStr">
        <is>
          <t>Car</t>
        </is>
      </c>
      <c r="F138" s="38">
        <f>IFERROR(INDEX(Dim_Category[CategoryID],MATCH($E138,Dim_Category[CategoryName],0)),"")</f>
        <v/>
      </c>
      <c r="G138" s="38" t="inlineStr">
        <is>
          <t>Credit Card</t>
        </is>
      </c>
      <c r="H138" s="38">
        <f>IFERROR(INDEX(Dim_Account[AccountID],MATCH($G138,Dim_Account[AccountName],0)),"")</f>
        <v/>
      </c>
      <c r="I138" s="38" t="inlineStr">
        <is>
          <t>Credit Card</t>
        </is>
      </c>
      <c r="J138" s="38">
        <f>IFERROR(INDEX(Dim_PaymentMethod[PaymentMethodID],MATCH($I138,Dim_PaymentMethod[MethodName],0)),"")</f>
        <v/>
      </c>
      <c r="K138" s="40" t="n">
        <v>37.5</v>
      </c>
      <c r="L138" s="38" t="inlineStr">
        <is>
          <t>Need</t>
        </is>
      </c>
      <c r="M138" s="38" t="inlineStr">
        <is>
          <t>No</t>
        </is>
      </c>
      <c r="N138" s="38" t="inlineStr">
        <is>
          <t>Wiper blades / oil</t>
        </is>
      </c>
      <c r="O138" s="38" t="n"/>
      <c r="P138" s="40">
        <f>IF(AND($B138&gt;=CurMonthStart,$B138&lt;=CurMonthEnd),$K138,0)</f>
        <v/>
      </c>
    </row>
    <row r="139">
      <c r="A139" s="38">
        <f>ROW()-5</f>
        <v/>
      </c>
      <c r="B139" s="39" t="n">
        <v>46130</v>
      </c>
      <c r="C139" s="38" t="inlineStr">
        <is>
          <t>City Electric Co</t>
        </is>
      </c>
      <c r="D139" s="38">
        <f>IFERROR(INDEX(Dim_Vendor[VendorID],MATCH($C139,Dim_Vendor[VendorName],0)),"")</f>
        <v/>
      </c>
      <c r="E139" s="38" t="inlineStr">
        <is>
          <t>Utilities</t>
        </is>
      </c>
      <c r="F139" s="38">
        <f>IFERROR(INDEX(Dim_Category[CategoryID],MATCH($E139,Dim_Category[CategoryName],0)),"")</f>
        <v/>
      </c>
      <c r="G139" s="38" t="inlineStr">
        <is>
          <t>Checking</t>
        </is>
      </c>
      <c r="H139" s="38">
        <f>IFERROR(INDEX(Dim_Account[AccountID],MATCH($G139,Dim_Account[AccountName],0)),"")</f>
        <v/>
      </c>
      <c r="I139" s="38" t="inlineStr">
        <is>
          <t>ACH</t>
        </is>
      </c>
      <c r="J139" s="38">
        <f>IFERROR(INDEX(Dim_PaymentMethod[PaymentMethodID],MATCH($I139,Dim_PaymentMethod[MethodName],0)),"")</f>
        <v/>
      </c>
      <c r="K139" s="40" t="n">
        <v>131.46</v>
      </c>
      <c r="L139" s="38" t="inlineStr">
        <is>
          <t>Need</t>
        </is>
      </c>
      <c r="M139" s="38" t="inlineStr">
        <is>
          <t>Yes</t>
        </is>
      </c>
      <c r="N139" s="38" t="inlineStr"/>
      <c r="O139" s="38" t="n"/>
      <c r="P139" s="40">
        <f>IF(AND($B139&gt;=CurMonthStart,$B139&lt;=CurMonthEnd),$K139,0)</f>
        <v/>
      </c>
    </row>
    <row r="140">
      <c r="A140" s="38">
        <f>ROW()-5</f>
        <v/>
      </c>
      <c r="B140" s="39" t="n">
        <v>46133</v>
      </c>
      <c r="C140" s="38" t="inlineStr">
        <is>
          <t>Comcast Xfinity</t>
        </is>
      </c>
      <c r="D140" s="38">
        <f>IFERROR(INDEX(Dim_Vendor[VendorID],MATCH($C140,Dim_Vendor[VendorName],0)),"")</f>
        <v/>
      </c>
      <c r="E140" s="38" t="inlineStr">
        <is>
          <t>Utilities</t>
        </is>
      </c>
      <c r="F140" s="38">
        <f>IFERROR(INDEX(Dim_Category[CategoryID],MATCH($E140,Dim_Category[CategoryName],0)),"")</f>
        <v/>
      </c>
      <c r="G140" s="38" t="inlineStr">
        <is>
          <t>Checking</t>
        </is>
      </c>
      <c r="H140" s="38">
        <f>IFERROR(INDEX(Dim_Account[AccountID],MATCH($G140,Dim_Account[AccountName],0)),"")</f>
        <v/>
      </c>
      <c r="I140" s="38" t="inlineStr">
        <is>
          <t>ACH</t>
        </is>
      </c>
      <c r="J140" s="38">
        <f>IFERROR(INDEX(Dim_PaymentMethod[PaymentMethodID],MATCH($I140,Dim_PaymentMethod[MethodName],0)),"")</f>
        <v/>
      </c>
      <c r="K140" s="40" t="n">
        <v>81.38</v>
      </c>
      <c r="L140" s="38" t="inlineStr">
        <is>
          <t>Need</t>
        </is>
      </c>
      <c r="M140" s="38" t="inlineStr">
        <is>
          <t>Yes</t>
        </is>
      </c>
      <c r="N140" s="38" t="inlineStr">
        <is>
          <t>Internet</t>
        </is>
      </c>
      <c r="O140" s="38" t="n"/>
      <c r="P140" s="40">
        <f>IF(AND($B140&gt;=CurMonthStart,$B140&lt;=CurMonthEnd),$K140,0)</f>
        <v/>
      </c>
    </row>
    <row r="141">
      <c r="A141" s="38">
        <f>ROW()-5</f>
        <v/>
      </c>
      <c r="B141" s="39" t="n">
        <v>46136</v>
      </c>
      <c r="C141" s="38" t="inlineStr">
        <is>
          <t>Verizon Wireless</t>
        </is>
      </c>
      <c r="D141" s="38">
        <f>IFERROR(INDEX(Dim_Vendor[VendorID],MATCH($C141,Dim_Vendor[VendorName],0)),"")</f>
        <v/>
      </c>
      <c r="E141" s="38" t="inlineStr">
        <is>
          <t>Utilities</t>
        </is>
      </c>
      <c r="F141" s="38">
        <f>IFERROR(INDEX(Dim_Category[CategoryID],MATCH($E141,Dim_Category[CategoryName],0)),"")</f>
        <v/>
      </c>
      <c r="G141" s="38" t="inlineStr">
        <is>
          <t>Checking</t>
        </is>
      </c>
      <c r="H141" s="38">
        <f>IFERROR(INDEX(Dim_Account[AccountID],MATCH($G141,Dim_Account[AccountName],0)),"")</f>
        <v/>
      </c>
      <c r="I141" s="38" t="inlineStr">
        <is>
          <t>ACH</t>
        </is>
      </c>
      <c r="J141" s="38">
        <f>IFERROR(INDEX(Dim_PaymentMethod[PaymentMethodID],MATCH($I141,Dim_PaymentMethod[MethodName],0)),"")</f>
        <v/>
      </c>
      <c r="K141" s="40" t="n">
        <v>89.72</v>
      </c>
      <c r="L141" s="38" t="inlineStr">
        <is>
          <t>Need</t>
        </is>
      </c>
      <c r="M141" s="38" t="inlineStr">
        <is>
          <t>Yes</t>
        </is>
      </c>
      <c r="N141" s="38" t="inlineStr">
        <is>
          <t>Mobile phone</t>
        </is>
      </c>
      <c r="O141" s="38" t="n"/>
      <c r="P141" s="40">
        <f>IF(AND($B141&gt;=CurMonthStart,$B141&lt;=CurMonthEnd),$K141,0)</f>
        <v/>
      </c>
    </row>
    <row r="142">
      <c r="A142" s="38">
        <f>ROW()-5</f>
        <v/>
      </c>
      <c r="B142" s="39" t="n">
        <v>46139</v>
      </c>
      <c r="C142" s="38" t="inlineStr">
        <is>
          <t>State Farm Insurance</t>
        </is>
      </c>
      <c r="D142" s="38">
        <f>IFERROR(INDEX(Dim_Vendor[VendorID],MATCH($C142,Dim_Vendor[VendorName],0)),"")</f>
        <v/>
      </c>
      <c r="E142" s="38" t="inlineStr">
        <is>
          <t>Insurance</t>
        </is>
      </c>
      <c r="F142" s="38">
        <f>IFERROR(INDEX(Dim_Category[CategoryID],MATCH($E142,Dim_Category[CategoryName],0)),"")</f>
        <v/>
      </c>
      <c r="G142" s="38" t="inlineStr">
        <is>
          <t>Checking</t>
        </is>
      </c>
      <c r="H142" s="38">
        <f>IFERROR(INDEX(Dim_Account[AccountID],MATCH($G142,Dim_Account[AccountName],0)),"")</f>
        <v/>
      </c>
      <c r="I142" s="38" t="inlineStr">
        <is>
          <t>ACH</t>
        </is>
      </c>
      <c r="J142" s="38">
        <f>IFERROR(INDEX(Dim_PaymentMethod[PaymentMethodID],MATCH($I142,Dim_PaymentMethod[MethodName],0)),"")</f>
        <v/>
      </c>
      <c r="K142" s="40" t="n">
        <v>147.96</v>
      </c>
      <c r="L142" s="38" t="inlineStr">
        <is>
          <t>Need</t>
        </is>
      </c>
      <c r="M142" s="38" t="inlineStr">
        <is>
          <t>Yes</t>
        </is>
      </c>
      <c r="N142" s="38" t="inlineStr">
        <is>
          <t>Auto + home insurance</t>
        </is>
      </c>
      <c r="O142" s="38" t="n"/>
      <c r="P142" s="40">
        <f>IF(AND($B142&gt;=CurMonthStart,$B142&lt;=CurMonthEnd),$K142,0)</f>
        <v/>
      </c>
    </row>
    <row r="143">
      <c r="A143" s="38">
        <f>ROW()-5</f>
        <v/>
      </c>
      <c r="B143" s="39" t="n">
        <v>46115</v>
      </c>
      <c r="C143" s="38" t="inlineStr">
        <is>
          <t>Kaiser Permanente</t>
        </is>
      </c>
      <c r="D143" s="38">
        <f>IFERROR(INDEX(Dim_Vendor[VendorID],MATCH($C143,Dim_Vendor[VendorName],0)),"")</f>
        <v/>
      </c>
      <c r="E143" s="38" t="inlineStr">
        <is>
          <t>Healthcare</t>
        </is>
      </c>
      <c r="F143" s="38">
        <f>IFERROR(INDEX(Dim_Category[CategoryID],MATCH($E143,Dim_Category[CategoryName],0)),"")</f>
        <v/>
      </c>
      <c r="G143" s="38" t="inlineStr">
        <is>
          <t>Credit Card</t>
        </is>
      </c>
      <c r="H143" s="38">
        <f>IFERROR(INDEX(Dim_Account[AccountID],MATCH($G143,Dim_Account[AccountName],0)),"")</f>
        <v/>
      </c>
      <c r="I143" s="38" t="inlineStr">
        <is>
          <t>Credit Card</t>
        </is>
      </c>
      <c r="J143" s="38">
        <f>IFERROR(INDEX(Dim_PaymentMethod[PaymentMethodID],MATCH($I143,Dim_PaymentMethod[MethodName],0)),"")</f>
        <v/>
      </c>
      <c r="K143" s="40" t="n">
        <v>45.28</v>
      </c>
      <c r="L143" s="38" t="inlineStr">
        <is>
          <t>Need</t>
        </is>
      </c>
      <c r="M143" s="38" t="inlineStr">
        <is>
          <t>No</t>
        </is>
      </c>
      <c r="N143" s="38" t="inlineStr">
        <is>
          <t>Copay</t>
        </is>
      </c>
      <c r="O143" s="38" t="n"/>
      <c r="P143" s="40">
        <f>IF(AND($B143&gt;=CurMonthStart,$B143&lt;=CurMonthEnd),$K143,0)</f>
        <v/>
      </c>
    </row>
    <row r="144">
      <c r="A144" s="38">
        <f>ROW()-5</f>
        <v/>
      </c>
      <c r="B144" s="39" t="n">
        <v>46118</v>
      </c>
      <c r="C144" s="38" t="inlineStr">
        <is>
          <t>Chipotle</t>
        </is>
      </c>
      <c r="D144" s="38">
        <f>IFERROR(INDEX(Dim_Vendor[VendorID],MATCH($C144,Dim_Vendor[VendorName],0)),"")</f>
        <v/>
      </c>
      <c r="E144" s="38" t="inlineStr">
        <is>
          <t>Dining &amp; Entertainment</t>
        </is>
      </c>
      <c r="F144" s="38">
        <f>IFERROR(INDEX(Dim_Category[CategoryID],MATCH($E144,Dim_Category[CategoryName],0)),"")</f>
        <v/>
      </c>
      <c r="G144" s="38" t="inlineStr">
        <is>
          <t>Credit Card</t>
        </is>
      </c>
      <c r="H144" s="38">
        <f>IFERROR(INDEX(Dim_Account[AccountID],MATCH($G144,Dim_Account[AccountName],0)),"")</f>
        <v/>
      </c>
      <c r="I144" s="38" t="inlineStr">
        <is>
          <t>Credit Card</t>
        </is>
      </c>
      <c r="J144" s="38">
        <f>IFERROR(INDEX(Dim_PaymentMethod[PaymentMethodID],MATCH($I144,Dim_PaymentMethod[MethodName],0)),"")</f>
        <v/>
      </c>
      <c r="K144" s="40" t="n">
        <v>14.25</v>
      </c>
      <c r="L144" s="38" t="inlineStr">
        <is>
          <t>Want</t>
        </is>
      </c>
      <c r="M144" s="38" t="inlineStr">
        <is>
          <t>No</t>
        </is>
      </c>
      <c r="N144" s="38" t="inlineStr"/>
      <c r="O144" s="38" t="n"/>
      <c r="P144" s="40">
        <f>IF(AND($B144&gt;=CurMonthStart,$B144&lt;=CurMonthEnd),$K144,0)</f>
        <v/>
      </c>
    </row>
    <row r="145">
      <c r="A145" s="38">
        <f>ROW()-5</f>
        <v/>
      </c>
      <c r="B145" s="39" t="n">
        <v>46121</v>
      </c>
      <c r="C145" s="38" t="inlineStr">
        <is>
          <t>Netflix</t>
        </is>
      </c>
      <c r="D145" s="38">
        <f>IFERROR(INDEX(Dim_Vendor[VendorID],MATCH($C145,Dim_Vendor[VendorName],0)),"")</f>
        <v/>
      </c>
      <c r="E145" s="38" t="inlineStr">
        <is>
          <t>Dining &amp; Entertainment</t>
        </is>
      </c>
      <c r="F145" s="38">
        <f>IFERROR(INDEX(Dim_Category[CategoryID],MATCH($E145,Dim_Category[CategoryName],0)),"")</f>
        <v/>
      </c>
      <c r="G145" s="38" t="inlineStr">
        <is>
          <t>Credit Card</t>
        </is>
      </c>
      <c r="H145" s="38">
        <f>IFERROR(INDEX(Dim_Account[AccountID],MATCH($G145,Dim_Account[AccountName],0)),"")</f>
        <v/>
      </c>
      <c r="I145" s="38" t="inlineStr">
        <is>
          <t>Credit Card</t>
        </is>
      </c>
      <c r="J145" s="38">
        <f>IFERROR(INDEX(Dim_PaymentMethod[PaymentMethodID],MATCH($I145,Dim_PaymentMethod[MethodName],0)),"")</f>
        <v/>
      </c>
      <c r="K145" s="40" t="n">
        <v>15.49</v>
      </c>
      <c r="L145" s="38" t="inlineStr">
        <is>
          <t>Want</t>
        </is>
      </c>
      <c r="M145" s="38" t="inlineStr">
        <is>
          <t>Yes</t>
        </is>
      </c>
      <c r="N145" s="38" t="inlineStr">
        <is>
          <t>Streaming subscription</t>
        </is>
      </c>
      <c r="O145" s="38" t="n"/>
      <c r="P145" s="40">
        <f>IF(AND($B145&gt;=CurMonthStart,$B145&lt;=CurMonthEnd),$K145,0)</f>
        <v/>
      </c>
    </row>
    <row r="146">
      <c r="A146" s="38">
        <f>ROW()-5</f>
        <v/>
      </c>
      <c r="B146" s="39" t="n">
        <v>46124</v>
      </c>
      <c r="C146" s="38" t="inlineStr">
        <is>
          <t>AMC Theatres</t>
        </is>
      </c>
      <c r="D146" s="38">
        <f>IFERROR(INDEX(Dim_Vendor[VendorID],MATCH($C146,Dim_Vendor[VendorName],0)),"")</f>
        <v/>
      </c>
      <c r="E146" s="38" t="inlineStr">
        <is>
          <t>Dining &amp; Entertainment</t>
        </is>
      </c>
      <c r="F146" s="38">
        <f>IFERROR(INDEX(Dim_Category[CategoryID],MATCH($E146,Dim_Category[CategoryName],0)),"")</f>
        <v/>
      </c>
      <c r="G146" s="38" t="inlineStr">
        <is>
          <t>Credit Card</t>
        </is>
      </c>
      <c r="H146" s="38">
        <f>IFERROR(INDEX(Dim_Account[AccountID],MATCH($G146,Dim_Account[AccountName],0)),"")</f>
        <v/>
      </c>
      <c r="I146" s="38" t="inlineStr">
        <is>
          <t>Credit Card</t>
        </is>
      </c>
      <c r="J146" s="38">
        <f>IFERROR(INDEX(Dim_PaymentMethod[PaymentMethodID],MATCH($I146,Dim_PaymentMethod[MethodName],0)),"")</f>
        <v/>
      </c>
      <c r="K146" s="40" t="n">
        <v>33.43</v>
      </c>
      <c r="L146" s="38" t="inlineStr">
        <is>
          <t>Want</t>
        </is>
      </c>
      <c r="M146" s="38" t="inlineStr">
        <is>
          <t>No</t>
        </is>
      </c>
      <c r="N146" s="38" t="inlineStr"/>
      <c r="O146" s="38" t="n"/>
      <c r="P146" s="40">
        <f>IF(AND($B146&gt;=CurMonthStart,$B146&lt;=CurMonthEnd),$K146,0)</f>
        <v/>
      </c>
    </row>
    <row r="147">
      <c r="A147" s="38">
        <f>ROW()-5</f>
        <v/>
      </c>
      <c r="B147" s="39" t="n">
        <v>46127</v>
      </c>
      <c r="C147" s="38" t="inlineStr">
        <is>
          <t>Planet Fitness</t>
        </is>
      </c>
      <c r="D147" s="38">
        <f>IFERROR(INDEX(Dim_Vendor[VendorID],MATCH($C147,Dim_Vendor[VendorName],0)),"")</f>
        <v/>
      </c>
      <c r="E147" s="38" t="inlineStr">
        <is>
          <t>Personal Care</t>
        </is>
      </c>
      <c r="F147" s="38">
        <f>IFERROR(INDEX(Dim_Category[CategoryID],MATCH($E147,Dim_Category[CategoryName],0)),"")</f>
        <v/>
      </c>
      <c r="G147" s="38" t="inlineStr">
        <is>
          <t>Checking</t>
        </is>
      </c>
      <c r="H147" s="38">
        <f>IFERROR(INDEX(Dim_Account[AccountID],MATCH($G147,Dim_Account[AccountName],0)),"")</f>
        <v/>
      </c>
      <c r="I147" s="38" t="inlineStr">
        <is>
          <t>ACH</t>
        </is>
      </c>
      <c r="J147" s="38">
        <f>IFERROR(INDEX(Dim_PaymentMethod[PaymentMethodID],MATCH($I147,Dim_PaymentMethod[MethodName],0)),"")</f>
        <v/>
      </c>
      <c r="K147" s="40" t="n">
        <v>25.11</v>
      </c>
      <c r="L147" s="38" t="inlineStr">
        <is>
          <t>Want</t>
        </is>
      </c>
      <c r="M147" s="38" t="inlineStr">
        <is>
          <t>Yes</t>
        </is>
      </c>
      <c r="N147" s="38" t="inlineStr">
        <is>
          <t>Gym membership</t>
        </is>
      </c>
      <c r="O147" s="38" t="n"/>
      <c r="P147" s="40">
        <f>IF(AND($B147&gt;=CurMonthStart,$B147&lt;=CurMonthEnd),$K147,0)</f>
        <v/>
      </c>
    </row>
    <row r="148">
      <c r="A148" s="38">
        <f>ROW()-5</f>
        <v/>
      </c>
      <c r="B148" s="39" t="n">
        <v>46130</v>
      </c>
      <c r="C148" s="38" t="inlineStr">
        <is>
          <t>Amazon</t>
        </is>
      </c>
      <c r="D148" s="38">
        <f>IFERROR(INDEX(Dim_Vendor[VendorID],MATCH($C148,Dim_Vendor[VendorName],0)),"")</f>
        <v/>
      </c>
      <c r="E148" s="38" t="inlineStr">
        <is>
          <t>Shopping</t>
        </is>
      </c>
      <c r="F148" s="38">
        <f>IFERROR(INDEX(Dim_Category[CategoryID],MATCH($E148,Dim_Category[CategoryName],0)),"")</f>
        <v/>
      </c>
      <c r="G148" s="38" t="inlineStr">
        <is>
          <t>Credit Card</t>
        </is>
      </c>
      <c r="H148" s="38">
        <f>IFERROR(INDEX(Dim_Account[AccountID],MATCH($G148,Dim_Account[AccountName],0)),"")</f>
        <v/>
      </c>
      <c r="I148" s="38" t="inlineStr">
        <is>
          <t>Credit Card</t>
        </is>
      </c>
      <c r="J148" s="38">
        <f>IFERROR(INDEX(Dim_PaymentMethod[PaymentMethodID],MATCH($I148,Dim_PaymentMethod[MethodName],0)),"")</f>
        <v/>
      </c>
      <c r="K148" s="40" t="n">
        <v>63</v>
      </c>
      <c r="L148" s="38" t="inlineStr">
        <is>
          <t>Want</t>
        </is>
      </c>
      <c r="M148" s="38" t="inlineStr">
        <is>
          <t>No</t>
        </is>
      </c>
      <c r="N148" s="38" t="inlineStr"/>
      <c r="O148" s="38" t="n"/>
      <c r="P148" s="40">
        <f>IF(AND($B148&gt;=CurMonthStart,$B148&lt;=CurMonthEnd),$K148,0)</f>
        <v/>
      </c>
    </row>
    <row r="149">
      <c r="A149" s="38">
        <f>ROW()-5</f>
        <v/>
      </c>
      <c r="B149" s="39" t="n">
        <v>46133</v>
      </c>
      <c r="C149" s="38" t="inlineStr">
        <is>
          <t>Target</t>
        </is>
      </c>
      <c r="D149" s="38">
        <f>IFERROR(INDEX(Dim_Vendor[VendorID],MATCH($C149,Dim_Vendor[VendorName],0)),"")</f>
        <v/>
      </c>
      <c r="E149" s="38" t="inlineStr">
        <is>
          <t>Shopping</t>
        </is>
      </c>
      <c r="F149" s="38">
        <f>IFERROR(INDEX(Dim_Category[CategoryID],MATCH($E149,Dim_Category[CategoryName],0)),"")</f>
        <v/>
      </c>
      <c r="G149" s="38" t="inlineStr">
        <is>
          <t>Credit Card</t>
        </is>
      </c>
      <c r="H149" s="38">
        <f>IFERROR(INDEX(Dim_Account[AccountID],MATCH($G149,Dim_Account[AccountName],0)),"")</f>
        <v/>
      </c>
      <c r="I149" s="38" t="inlineStr">
        <is>
          <t>Credit Card</t>
        </is>
      </c>
      <c r="J149" s="38">
        <f>IFERROR(INDEX(Dim_PaymentMethod[PaymentMethodID],MATCH($I149,Dim_PaymentMethod[MethodName],0)),"")</f>
        <v/>
      </c>
      <c r="K149" s="40" t="n">
        <v>52.79</v>
      </c>
      <c r="L149" s="38" t="inlineStr">
        <is>
          <t>Want</t>
        </is>
      </c>
      <c r="M149" s="38" t="inlineStr">
        <is>
          <t>No</t>
        </is>
      </c>
      <c r="N149" s="38" t="inlineStr"/>
      <c r="O149" s="38" t="n"/>
      <c r="P149" s="40">
        <f>IF(AND($B149&gt;=CurMonthStart,$B149&lt;=CurMonthEnd),$K149,0)</f>
        <v/>
      </c>
    </row>
    <row r="150">
      <c r="A150" s="38">
        <f>ROW()-5</f>
        <v/>
      </c>
      <c r="B150" s="39" t="n">
        <v>46145</v>
      </c>
      <c r="C150" s="38" t="inlineStr">
        <is>
          <t>Mortgage Lender</t>
        </is>
      </c>
      <c r="D150" s="38">
        <f>IFERROR(INDEX(Dim_Vendor[VendorID],MATCH($C150,Dim_Vendor[VendorName],0)),"")</f>
        <v/>
      </c>
      <c r="E150" s="38" t="inlineStr">
        <is>
          <t>Mortgage</t>
        </is>
      </c>
      <c r="F150" s="38">
        <f>IFERROR(INDEX(Dim_Category[CategoryID],MATCH($E150,Dim_Category[CategoryName],0)),"")</f>
        <v/>
      </c>
      <c r="G150" s="38" t="inlineStr">
        <is>
          <t>Checking</t>
        </is>
      </c>
      <c r="H150" s="38">
        <f>IFERROR(INDEX(Dim_Account[AccountID],MATCH($G150,Dim_Account[AccountName],0)),"")</f>
        <v/>
      </c>
      <c r="I150" s="38" t="inlineStr">
        <is>
          <t>ACH</t>
        </is>
      </c>
      <c r="J150" s="38">
        <f>IFERROR(INDEX(Dim_PaymentMethod[PaymentMethodID],MATCH($I150,Dim_PaymentMethod[MethodName],0)),"")</f>
        <v/>
      </c>
      <c r="K150" s="40" t="n">
        <v>1984.7</v>
      </c>
      <c r="L150" s="38" t="inlineStr">
        <is>
          <t>Need</t>
        </is>
      </c>
      <c r="M150" s="38" t="inlineStr">
        <is>
          <t>Yes</t>
        </is>
      </c>
      <c r="N150" s="38" t="inlineStr">
        <is>
          <t>Monthly mortgage payment</t>
        </is>
      </c>
      <c r="O150" s="38" t="n"/>
      <c r="P150" s="40">
        <f>IF(AND($B150&gt;=CurMonthStart,$B150&lt;=CurMonthEnd),$K150,0)</f>
        <v/>
      </c>
    </row>
    <row r="151">
      <c r="A151" s="38">
        <f>ROW()-5</f>
        <v/>
      </c>
      <c r="B151" s="39" t="n">
        <v>46148</v>
      </c>
      <c r="C151" s="38" t="inlineStr">
        <is>
          <t>Whole Foods</t>
        </is>
      </c>
      <c r="D151" s="38">
        <f>IFERROR(INDEX(Dim_Vendor[VendorID],MATCH($C151,Dim_Vendor[VendorName],0)),"")</f>
        <v/>
      </c>
      <c r="E151" s="38" t="inlineStr">
        <is>
          <t>Groceries</t>
        </is>
      </c>
      <c r="F151" s="38">
        <f>IFERROR(INDEX(Dim_Category[CategoryID],MATCH($E151,Dim_Category[CategoryName],0)),"")</f>
        <v/>
      </c>
      <c r="G151" s="38" t="inlineStr">
        <is>
          <t>Credit Card</t>
        </is>
      </c>
      <c r="H151" s="38">
        <f>IFERROR(INDEX(Dim_Account[AccountID],MATCH($G151,Dim_Account[AccountName],0)),"")</f>
        <v/>
      </c>
      <c r="I151" s="38" t="inlineStr">
        <is>
          <t>Credit Card</t>
        </is>
      </c>
      <c r="J151" s="38">
        <f>IFERROR(INDEX(Dim_PaymentMethod[PaymentMethodID],MATCH($I151,Dim_PaymentMethod[MethodName],0)),"")</f>
        <v/>
      </c>
      <c r="K151" s="40" t="n">
        <v>199.22</v>
      </c>
      <c r="L151" s="38" t="inlineStr">
        <is>
          <t>Need</t>
        </is>
      </c>
      <c r="M151" s="38" t="inlineStr">
        <is>
          <t>No</t>
        </is>
      </c>
      <c r="N151" s="38" t="inlineStr"/>
      <c r="O151" s="38" t="n"/>
      <c r="P151" s="40">
        <f>IF(AND($B151&gt;=CurMonthStart,$B151&lt;=CurMonthEnd),$K151,0)</f>
        <v/>
      </c>
    </row>
    <row r="152">
      <c r="A152" s="38">
        <f>ROW()-5</f>
        <v/>
      </c>
      <c r="B152" s="39" t="n">
        <v>46151</v>
      </c>
      <c r="C152" s="38" t="inlineStr">
        <is>
          <t>Costco</t>
        </is>
      </c>
      <c r="D152" s="38">
        <f>IFERROR(INDEX(Dim_Vendor[VendorID],MATCH($C152,Dim_Vendor[VendorName],0)),"")</f>
        <v/>
      </c>
      <c r="E152" s="38" t="inlineStr">
        <is>
          <t>Groceries</t>
        </is>
      </c>
      <c r="F152" s="38">
        <f>IFERROR(INDEX(Dim_Category[CategoryID],MATCH($E152,Dim_Category[CategoryName],0)),"")</f>
        <v/>
      </c>
      <c r="G152" s="38" t="inlineStr">
        <is>
          <t>Credit Card</t>
        </is>
      </c>
      <c r="H152" s="38">
        <f>IFERROR(INDEX(Dim_Account[AccountID],MATCH($G152,Dim_Account[AccountName],0)),"")</f>
        <v/>
      </c>
      <c r="I152" s="38" t="inlineStr">
        <is>
          <t>Credit Card</t>
        </is>
      </c>
      <c r="J152" s="38">
        <f>IFERROR(INDEX(Dim_PaymentMethod[PaymentMethodID],MATCH($I152,Dim_PaymentMethod[MethodName],0)),"")</f>
        <v/>
      </c>
      <c r="K152" s="40" t="n">
        <v>259.95</v>
      </c>
      <c r="L152" s="38" t="inlineStr">
        <is>
          <t>Need</t>
        </is>
      </c>
      <c r="M152" s="38" t="inlineStr">
        <is>
          <t>No</t>
        </is>
      </c>
      <c r="N152" s="38" t="inlineStr">
        <is>
          <t>Bulk groceries</t>
        </is>
      </c>
      <c r="O152" s="38" t="n"/>
      <c r="P152" s="40">
        <f>IF(AND($B152&gt;=CurMonthStart,$B152&lt;=CurMonthEnd),$K152,0)</f>
        <v/>
      </c>
    </row>
    <row r="153">
      <c r="A153" s="38">
        <f>ROW()-5</f>
        <v/>
      </c>
      <c r="B153" s="39" t="n">
        <v>46154</v>
      </c>
      <c r="C153" s="38" t="inlineStr">
        <is>
          <t>Shell Gas Station</t>
        </is>
      </c>
      <c r="D153" s="38">
        <f>IFERROR(INDEX(Dim_Vendor[VendorID],MATCH($C153,Dim_Vendor[VendorName],0)),"")</f>
        <v/>
      </c>
      <c r="E153" s="38" t="inlineStr">
        <is>
          <t>Car</t>
        </is>
      </c>
      <c r="F153" s="38">
        <f>IFERROR(INDEX(Dim_Category[CategoryID],MATCH($E153,Dim_Category[CategoryName],0)),"")</f>
        <v/>
      </c>
      <c r="G153" s="38" t="inlineStr">
        <is>
          <t>Credit Card</t>
        </is>
      </c>
      <c r="H153" s="38">
        <f>IFERROR(INDEX(Dim_Account[AccountID],MATCH($G153,Dim_Account[AccountName],0)),"")</f>
        <v/>
      </c>
      <c r="I153" s="38" t="inlineStr">
        <is>
          <t>Credit Card</t>
        </is>
      </c>
      <c r="J153" s="38">
        <f>IFERROR(INDEX(Dim_PaymentMethod[PaymentMethodID],MATCH($I153,Dim_PaymentMethod[MethodName],0)),"")</f>
        <v/>
      </c>
      <c r="K153" s="40" t="n">
        <v>55.08</v>
      </c>
      <c r="L153" s="38" t="inlineStr">
        <is>
          <t>Need</t>
        </is>
      </c>
      <c r="M153" s="38" t="inlineStr">
        <is>
          <t>No</t>
        </is>
      </c>
      <c r="N153" s="38" t="inlineStr">
        <is>
          <t>Gas</t>
        </is>
      </c>
      <c r="O153" s="38" t="n"/>
      <c r="P153" s="40">
        <f>IF(AND($B153&gt;=CurMonthStart,$B153&lt;=CurMonthEnd),$K153,0)</f>
        <v/>
      </c>
    </row>
    <row r="154">
      <c r="A154" s="38">
        <f>ROW()-5</f>
        <v/>
      </c>
      <c r="B154" s="39" t="n">
        <v>46157</v>
      </c>
      <c r="C154" s="38" t="inlineStr">
        <is>
          <t>AutoZone</t>
        </is>
      </c>
      <c r="D154" s="38">
        <f>IFERROR(INDEX(Dim_Vendor[VendorID],MATCH($C154,Dim_Vendor[VendorName],0)),"")</f>
        <v/>
      </c>
      <c r="E154" s="38" t="inlineStr">
        <is>
          <t>Car</t>
        </is>
      </c>
      <c r="F154" s="38">
        <f>IFERROR(INDEX(Dim_Category[CategoryID],MATCH($E154,Dim_Category[CategoryName],0)),"")</f>
        <v/>
      </c>
      <c r="G154" s="38" t="inlineStr">
        <is>
          <t>Credit Card</t>
        </is>
      </c>
      <c r="H154" s="38">
        <f>IFERROR(INDEX(Dim_Account[AccountID],MATCH($G154,Dim_Account[AccountName],0)),"")</f>
        <v/>
      </c>
      <c r="I154" s="38" t="inlineStr">
        <is>
          <t>Credit Card</t>
        </is>
      </c>
      <c r="J154" s="38">
        <f>IFERROR(INDEX(Dim_PaymentMethod[PaymentMethodID],MATCH($I154,Dim_PaymentMethod[MethodName],0)),"")</f>
        <v/>
      </c>
      <c r="K154" s="40" t="n">
        <v>37.56</v>
      </c>
      <c r="L154" s="38" t="inlineStr">
        <is>
          <t>Need</t>
        </is>
      </c>
      <c r="M154" s="38" t="inlineStr">
        <is>
          <t>No</t>
        </is>
      </c>
      <c r="N154" s="38" t="inlineStr">
        <is>
          <t>Wiper blades / oil</t>
        </is>
      </c>
      <c r="O154" s="38" t="n"/>
      <c r="P154" s="40">
        <f>IF(AND($B154&gt;=CurMonthStart,$B154&lt;=CurMonthEnd),$K154,0)</f>
        <v/>
      </c>
    </row>
    <row r="155">
      <c r="A155" s="38">
        <f>ROW()-5</f>
        <v/>
      </c>
      <c r="B155" s="39" t="n">
        <v>46160</v>
      </c>
      <c r="C155" s="38" t="inlineStr">
        <is>
          <t>City Electric Co</t>
        </is>
      </c>
      <c r="D155" s="38">
        <f>IFERROR(INDEX(Dim_Vendor[VendorID],MATCH($C155,Dim_Vendor[VendorName],0)),"")</f>
        <v/>
      </c>
      <c r="E155" s="38" t="inlineStr">
        <is>
          <t>Utilities</t>
        </is>
      </c>
      <c r="F155" s="38">
        <f>IFERROR(INDEX(Dim_Category[CategoryID],MATCH($E155,Dim_Category[CategoryName],0)),"")</f>
        <v/>
      </c>
      <c r="G155" s="38" t="inlineStr">
        <is>
          <t>Checking</t>
        </is>
      </c>
      <c r="H155" s="38">
        <f>IFERROR(INDEX(Dim_Account[AccountID],MATCH($G155,Dim_Account[AccountName],0)),"")</f>
        <v/>
      </c>
      <c r="I155" s="38" t="inlineStr">
        <is>
          <t>ACH</t>
        </is>
      </c>
      <c r="J155" s="38">
        <f>IFERROR(INDEX(Dim_PaymentMethod[PaymentMethodID],MATCH($I155,Dim_PaymentMethod[MethodName],0)),"")</f>
        <v/>
      </c>
      <c r="K155" s="40" t="n">
        <v>119.5</v>
      </c>
      <c r="L155" s="38" t="inlineStr">
        <is>
          <t>Need</t>
        </is>
      </c>
      <c r="M155" s="38" t="inlineStr">
        <is>
          <t>Yes</t>
        </is>
      </c>
      <c r="N155" s="38" t="inlineStr"/>
      <c r="O155" s="38" t="n"/>
      <c r="P155" s="40">
        <f>IF(AND($B155&gt;=CurMonthStart,$B155&lt;=CurMonthEnd),$K155,0)</f>
        <v/>
      </c>
    </row>
    <row r="156">
      <c r="A156" s="38">
        <f>ROW()-5</f>
        <v/>
      </c>
      <c r="B156" s="39" t="n">
        <v>46163</v>
      </c>
      <c r="C156" s="38" t="inlineStr">
        <is>
          <t>Comcast Xfinity</t>
        </is>
      </c>
      <c r="D156" s="38">
        <f>IFERROR(INDEX(Dim_Vendor[VendorID],MATCH($C156,Dim_Vendor[VendorName],0)),"")</f>
        <v/>
      </c>
      <c r="E156" s="38" t="inlineStr">
        <is>
          <t>Utilities</t>
        </is>
      </c>
      <c r="F156" s="38">
        <f>IFERROR(INDEX(Dim_Category[CategoryID],MATCH($E156,Dim_Category[CategoryName],0)),"")</f>
        <v/>
      </c>
      <c r="G156" s="38" t="inlineStr">
        <is>
          <t>Checking</t>
        </is>
      </c>
      <c r="H156" s="38">
        <f>IFERROR(INDEX(Dim_Account[AccountID],MATCH($G156,Dim_Account[AccountName],0)),"")</f>
        <v/>
      </c>
      <c r="I156" s="38" t="inlineStr">
        <is>
          <t>ACH</t>
        </is>
      </c>
      <c r="J156" s="38">
        <f>IFERROR(INDEX(Dim_PaymentMethod[PaymentMethodID],MATCH($I156,Dim_PaymentMethod[MethodName],0)),"")</f>
        <v/>
      </c>
      <c r="K156" s="40" t="n">
        <v>84.83</v>
      </c>
      <c r="L156" s="38" t="inlineStr">
        <is>
          <t>Need</t>
        </is>
      </c>
      <c r="M156" s="38" t="inlineStr">
        <is>
          <t>Yes</t>
        </is>
      </c>
      <c r="N156" s="38" t="inlineStr">
        <is>
          <t>Internet</t>
        </is>
      </c>
      <c r="O156" s="38" t="n"/>
      <c r="P156" s="40">
        <f>IF(AND($B156&gt;=CurMonthStart,$B156&lt;=CurMonthEnd),$K156,0)</f>
        <v/>
      </c>
    </row>
    <row r="157">
      <c r="A157" s="38">
        <f>ROW()-5</f>
        <v/>
      </c>
      <c r="B157" s="39" t="n">
        <v>46166</v>
      </c>
      <c r="C157" s="38" t="inlineStr">
        <is>
          <t>Verizon Wireless</t>
        </is>
      </c>
      <c r="D157" s="38">
        <f>IFERROR(INDEX(Dim_Vendor[VendorID],MATCH($C157,Dim_Vendor[VendorName],0)),"")</f>
        <v/>
      </c>
      <c r="E157" s="38" t="inlineStr">
        <is>
          <t>Utilities</t>
        </is>
      </c>
      <c r="F157" s="38">
        <f>IFERROR(INDEX(Dim_Category[CategoryID],MATCH($E157,Dim_Category[CategoryName],0)),"")</f>
        <v/>
      </c>
      <c r="G157" s="38" t="inlineStr">
        <is>
          <t>Checking</t>
        </is>
      </c>
      <c r="H157" s="38">
        <f>IFERROR(INDEX(Dim_Account[AccountID],MATCH($G157,Dim_Account[AccountName],0)),"")</f>
        <v/>
      </c>
      <c r="I157" s="38" t="inlineStr">
        <is>
          <t>ACH</t>
        </is>
      </c>
      <c r="J157" s="38">
        <f>IFERROR(INDEX(Dim_PaymentMethod[PaymentMethodID],MATCH($I157,Dim_PaymentMethod[MethodName],0)),"")</f>
        <v/>
      </c>
      <c r="K157" s="40" t="n">
        <v>101.79</v>
      </c>
      <c r="L157" s="38" t="inlineStr">
        <is>
          <t>Need</t>
        </is>
      </c>
      <c r="M157" s="38" t="inlineStr">
        <is>
          <t>Yes</t>
        </is>
      </c>
      <c r="N157" s="38" t="inlineStr">
        <is>
          <t>Mobile phone</t>
        </is>
      </c>
      <c r="O157" s="38" t="n"/>
      <c r="P157" s="40">
        <f>IF(AND($B157&gt;=CurMonthStart,$B157&lt;=CurMonthEnd),$K157,0)</f>
        <v/>
      </c>
    </row>
    <row r="158">
      <c r="A158" s="38">
        <f>ROW()-5</f>
        <v/>
      </c>
      <c r="B158" s="39" t="n">
        <v>46169</v>
      </c>
      <c r="C158" s="38" t="inlineStr">
        <is>
          <t>State Farm Insurance</t>
        </is>
      </c>
      <c r="D158" s="38">
        <f>IFERROR(INDEX(Dim_Vendor[VendorID],MATCH($C158,Dim_Vendor[VendorName],0)),"")</f>
        <v/>
      </c>
      <c r="E158" s="38" t="inlineStr">
        <is>
          <t>Insurance</t>
        </is>
      </c>
      <c r="F158" s="38">
        <f>IFERROR(INDEX(Dim_Category[CategoryID],MATCH($E158,Dim_Category[CategoryName],0)),"")</f>
        <v/>
      </c>
      <c r="G158" s="38" t="inlineStr">
        <is>
          <t>Checking</t>
        </is>
      </c>
      <c r="H158" s="38">
        <f>IFERROR(INDEX(Dim_Account[AccountID],MATCH($G158,Dim_Account[AccountName],0)),"")</f>
        <v/>
      </c>
      <c r="I158" s="38" t="inlineStr">
        <is>
          <t>ACH</t>
        </is>
      </c>
      <c r="J158" s="38">
        <f>IFERROR(INDEX(Dim_PaymentMethod[PaymentMethodID],MATCH($I158,Dim_PaymentMethod[MethodName],0)),"")</f>
        <v/>
      </c>
      <c r="K158" s="40" t="n">
        <v>132.59</v>
      </c>
      <c r="L158" s="38" t="inlineStr">
        <is>
          <t>Need</t>
        </is>
      </c>
      <c r="M158" s="38" t="inlineStr">
        <is>
          <t>Yes</t>
        </is>
      </c>
      <c r="N158" s="38" t="inlineStr">
        <is>
          <t>Auto + home insurance</t>
        </is>
      </c>
      <c r="O158" s="38" t="n"/>
      <c r="P158" s="40">
        <f>IF(AND($B158&gt;=CurMonthStart,$B158&lt;=CurMonthEnd),$K158,0)</f>
        <v/>
      </c>
    </row>
    <row r="159">
      <c r="A159" s="38">
        <f>ROW()-5</f>
        <v/>
      </c>
      <c r="B159" s="39" t="n">
        <v>46145</v>
      </c>
      <c r="C159" s="38" t="inlineStr">
        <is>
          <t>Kaiser Permanente</t>
        </is>
      </c>
      <c r="D159" s="38">
        <f>IFERROR(INDEX(Dim_Vendor[VendorID],MATCH($C159,Dim_Vendor[VendorName],0)),"")</f>
        <v/>
      </c>
      <c r="E159" s="38" t="inlineStr">
        <is>
          <t>Healthcare</t>
        </is>
      </c>
      <c r="F159" s="38">
        <f>IFERROR(INDEX(Dim_Category[CategoryID],MATCH($E159,Dim_Category[CategoryName],0)),"")</f>
        <v/>
      </c>
      <c r="G159" s="38" t="inlineStr">
        <is>
          <t>Credit Card</t>
        </is>
      </c>
      <c r="H159" s="38">
        <f>IFERROR(INDEX(Dim_Account[AccountID],MATCH($G159,Dim_Account[AccountName],0)),"")</f>
        <v/>
      </c>
      <c r="I159" s="38" t="inlineStr">
        <is>
          <t>Credit Card</t>
        </is>
      </c>
      <c r="J159" s="38">
        <f>IFERROR(INDEX(Dim_PaymentMethod[PaymentMethodID],MATCH($I159,Dim_PaymentMethod[MethodName],0)),"")</f>
        <v/>
      </c>
      <c r="K159" s="40" t="n">
        <v>44.9</v>
      </c>
      <c r="L159" s="38" t="inlineStr">
        <is>
          <t>Need</t>
        </is>
      </c>
      <c r="M159" s="38" t="inlineStr">
        <is>
          <t>No</t>
        </is>
      </c>
      <c r="N159" s="38" t="inlineStr">
        <is>
          <t>Copay</t>
        </is>
      </c>
      <c r="O159" s="38" t="n"/>
      <c r="P159" s="40">
        <f>IF(AND($B159&gt;=CurMonthStart,$B159&lt;=CurMonthEnd),$K159,0)</f>
        <v/>
      </c>
    </row>
    <row r="160">
      <c r="A160" s="38">
        <f>ROW()-5</f>
        <v/>
      </c>
      <c r="B160" s="39" t="n">
        <v>46148</v>
      </c>
      <c r="C160" s="38" t="inlineStr">
        <is>
          <t>Chipotle</t>
        </is>
      </c>
      <c r="D160" s="38">
        <f>IFERROR(INDEX(Dim_Vendor[VendorID],MATCH($C160,Dim_Vendor[VendorName],0)),"")</f>
        <v/>
      </c>
      <c r="E160" s="38" t="inlineStr">
        <is>
          <t>Dining &amp; Entertainment</t>
        </is>
      </c>
      <c r="F160" s="38">
        <f>IFERROR(INDEX(Dim_Category[CategoryID],MATCH($E160,Dim_Category[CategoryName],0)),"")</f>
        <v/>
      </c>
      <c r="G160" s="38" t="inlineStr">
        <is>
          <t>Credit Card</t>
        </is>
      </c>
      <c r="H160" s="38">
        <f>IFERROR(INDEX(Dim_Account[AccountID],MATCH($G160,Dim_Account[AccountName],0)),"")</f>
        <v/>
      </c>
      <c r="I160" s="38" t="inlineStr">
        <is>
          <t>Credit Card</t>
        </is>
      </c>
      <c r="J160" s="38">
        <f>IFERROR(INDEX(Dim_PaymentMethod[PaymentMethodID],MATCH($I160,Dim_PaymentMethod[MethodName],0)),"")</f>
        <v/>
      </c>
      <c r="K160" s="40" t="n">
        <v>14.25</v>
      </c>
      <c r="L160" s="38" t="inlineStr">
        <is>
          <t>Want</t>
        </is>
      </c>
      <c r="M160" s="38" t="inlineStr">
        <is>
          <t>No</t>
        </is>
      </c>
      <c r="N160" s="38" t="inlineStr"/>
      <c r="O160" s="38" t="n"/>
      <c r="P160" s="40">
        <f>IF(AND($B160&gt;=CurMonthStart,$B160&lt;=CurMonthEnd),$K160,0)</f>
        <v/>
      </c>
    </row>
    <row r="161">
      <c r="A161" s="38">
        <f>ROW()-5</f>
        <v/>
      </c>
      <c r="B161" s="39" t="n">
        <v>46151</v>
      </c>
      <c r="C161" s="38" t="inlineStr">
        <is>
          <t>Netflix</t>
        </is>
      </c>
      <c r="D161" s="38">
        <f>IFERROR(INDEX(Dim_Vendor[VendorID],MATCH($C161,Dim_Vendor[VendorName],0)),"")</f>
        <v/>
      </c>
      <c r="E161" s="38" t="inlineStr">
        <is>
          <t>Dining &amp; Entertainment</t>
        </is>
      </c>
      <c r="F161" s="38">
        <f>IFERROR(INDEX(Dim_Category[CategoryID],MATCH($E161,Dim_Category[CategoryName],0)),"")</f>
        <v/>
      </c>
      <c r="G161" s="38" t="inlineStr">
        <is>
          <t>Credit Card</t>
        </is>
      </c>
      <c r="H161" s="38">
        <f>IFERROR(INDEX(Dim_Account[AccountID],MATCH($G161,Dim_Account[AccountName],0)),"")</f>
        <v/>
      </c>
      <c r="I161" s="38" t="inlineStr">
        <is>
          <t>Credit Card</t>
        </is>
      </c>
      <c r="J161" s="38">
        <f>IFERROR(INDEX(Dim_PaymentMethod[PaymentMethodID],MATCH($I161,Dim_PaymentMethod[MethodName],0)),"")</f>
        <v/>
      </c>
      <c r="K161" s="40" t="n">
        <v>15.49</v>
      </c>
      <c r="L161" s="38" t="inlineStr">
        <is>
          <t>Want</t>
        </is>
      </c>
      <c r="M161" s="38" t="inlineStr">
        <is>
          <t>Yes</t>
        </is>
      </c>
      <c r="N161" s="38" t="inlineStr">
        <is>
          <t>Streaming subscription</t>
        </is>
      </c>
      <c r="O161" s="38" t="n"/>
      <c r="P161" s="40">
        <f>IF(AND($B161&gt;=CurMonthStart,$B161&lt;=CurMonthEnd),$K161,0)</f>
        <v/>
      </c>
    </row>
    <row r="162">
      <c r="A162" s="38">
        <f>ROW()-5</f>
        <v/>
      </c>
      <c r="B162" s="39" t="n">
        <v>46154</v>
      </c>
      <c r="C162" s="38" t="inlineStr">
        <is>
          <t>AMC Theatres</t>
        </is>
      </c>
      <c r="D162" s="38">
        <f>IFERROR(INDEX(Dim_Vendor[VendorID],MATCH($C162,Dim_Vendor[VendorName],0)),"")</f>
        <v/>
      </c>
      <c r="E162" s="38" t="inlineStr">
        <is>
          <t>Dining &amp; Entertainment</t>
        </is>
      </c>
      <c r="F162" s="38">
        <f>IFERROR(INDEX(Dim_Category[CategoryID],MATCH($E162,Dim_Category[CategoryName],0)),"")</f>
        <v/>
      </c>
      <c r="G162" s="38" t="inlineStr">
        <is>
          <t>Credit Card</t>
        </is>
      </c>
      <c r="H162" s="38">
        <f>IFERROR(INDEX(Dim_Account[AccountID],MATCH($G162,Dim_Account[AccountName],0)),"")</f>
        <v/>
      </c>
      <c r="I162" s="38" t="inlineStr">
        <is>
          <t>Credit Card</t>
        </is>
      </c>
      <c r="J162" s="38">
        <f>IFERROR(INDEX(Dim_PaymentMethod[PaymentMethodID],MATCH($I162,Dim_PaymentMethod[MethodName],0)),"")</f>
        <v/>
      </c>
      <c r="K162" s="40" t="n">
        <v>29.79</v>
      </c>
      <c r="L162" s="38" t="inlineStr">
        <is>
          <t>Want</t>
        </is>
      </c>
      <c r="M162" s="38" t="inlineStr">
        <is>
          <t>No</t>
        </is>
      </c>
      <c r="N162" s="38" t="inlineStr"/>
      <c r="O162" s="38" t="n"/>
      <c r="P162" s="40">
        <f>IF(AND($B162&gt;=CurMonthStart,$B162&lt;=CurMonthEnd),$K162,0)</f>
        <v/>
      </c>
    </row>
    <row r="163">
      <c r="A163" s="38">
        <f>ROW()-5</f>
        <v/>
      </c>
      <c r="B163" s="39" t="n">
        <v>46157</v>
      </c>
      <c r="C163" s="38" t="inlineStr">
        <is>
          <t>Planet Fitness</t>
        </is>
      </c>
      <c r="D163" s="38">
        <f>IFERROR(INDEX(Dim_Vendor[VendorID],MATCH($C163,Dim_Vendor[VendorName],0)),"")</f>
        <v/>
      </c>
      <c r="E163" s="38" t="inlineStr">
        <is>
          <t>Personal Care</t>
        </is>
      </c>
      <c r="F163" s="38">
        <f>IFERROR(INDEX(Dim_Category[CategoryID],MATCH($E163,Dim_Category[CategoryName],0)),"")</f>
        <v/>
      </c>
      <c r="G163" s="38" t="inlineStr">
        <is>
          <t>Checking</t>
        </is>
      </c>
      <c r="H163" s="38">
        <f>IFERROR(INDEX(Dim_Account[AccountID],MATCH($G163,Dim_Account[AccountName],0)),"")</f>
        <v/>
      </c>
      <c r="I163" s="38" t="inlineStr">
        <is>
          <t>ACH</t>
        </is>
      </c>
      <c r="J163" s="38">
        <f>IFERROR(INDEX(Dim_PaymentMethod[PaymentMethodID],MATCH($I163,Dim_PaymentMethod[MethodName],0)),"")</f>
        <v/>
      </c>
      <c r="K163" s="40" t="n">
        <v>26.03</v>
      </c>
      <c r="L163" s="38" t="inlineStr">
        <is>
          <t>Want</t>
        </is>
      </c>
      <c r="M163" s="38" t="inlineStr">
        <is>
          <t>Yes</t>
        </is>
      </c>
      <c r="N163" s="38" t="inlineStr">
        <is>
          <t>Gym membership</t>
        </is>
      </c>
      <c r="O163" s="38" t="n"/>
      <c r="P163" s="40">
        <f>IF(AND($B163&gt;=CurMonthStart,$B163&lt;=CurMonthEnd),$K163,0)</f>
        <v/>
      </c>
    </row>
    <row r="164">
      <c r="A164" s="38">
        <f>ROW()-5</f>
        <v/>
      </c>
      <c r="B164" s="39" t="n">
        <v>46160</v>
      </c>
      <c r="C164" s="38" t="inlineStr">
        <is>
          <t>Amazon</t>
        </is>
      </c>
      <c r="D164" s="38">
        <f>IFERROR(INDEX(Dim_Vendor[VendorID],MATCH($C164,Dim_Vendor[VendorName],0)),"")</f>
        <v/>
      </c>
      <c r="E164" s="38" t="inlineStr">
        <is>
          <t>Shopping</t>
        </is>
      </c>
      <c r="F164" s="38">
        <f>IFERROR(INDEX(Dim_Category[CategoryID],MATCH($E164,Dim_Category[CategoryName],0)),"")</f>
        <v/>
      </c>
      <c r="G164" s="38" t="inlineStr">
        <is>
          <t>Credit Card</t>
        </is>
      </c>
      <c r="H164" s="38">
        <f>IFERROR(INDEX(Dim_Account[AccountID],MATCH($G164,Dim_Account[AccountName],0)),"")</f>
        <v/>
      </c>
      <c r="I164" s="38" t="inlineStr">
        <is>
          <t>Credit Card</t>
        </is>
      </c>
      <c r="J164" s="38">
        <f>IFERROR(INDEX(Dim_PaymentMethod[PaymentMethodID],MATCH($I164,Dim_PaymentMethod[MethodName],0)),"")</f>
        <v/>
      </c>
      <c r="K164" s="40" t="n">
        <v>71.38</v>
      </c>
      <c r="L164" s="38" t="inlineStr">
        <is>
          <t>Want</t>
        </is>
      </c>
      <c r="M164" s="38" t="inlineStr">
        <is>
          <t>No</t>
        </is>
      </c>
      <c r="N164" s="38" t="inlineStr"/>
      <c r="O164" s="38" t="n"/>
      <c r="P164" s="40">
        <f>IF(AND($B164&gt;=CurMonthStart,$B164&lt;=CurMonthEnd),$K164,0)</f>
        <v/>
      </c>
    </row>
    <row r="165">
      <c r="A165" s="38">
        <f>ROW()-5</f>
        <v/>
      </c>
      <c r="B165" s="39" t="n">
        <v>46163</v>
      </c>
      <c r="C165" s="38" t="inlineStr">
        <is>
          <t>Target</t>
        </is>
      </c>
      <c r="D165" s="38">
        <f>IFERROR(INDEX(Dim_Vendor[VendorID],MATCH($C165,Dim_Vendor[VendorName],0)),"")</f>
        <v/>
      </c>
      <c r="E165" s="38" t="inlineStr">
        <is>
          <t>Shopping</t>
        </is>
      </c>
      <c r="F165" s="38">
        <f>IFERROR(INDEX(Dim_Category[CategoryID],MATCH($E165,Dim_Category[CategoryName],0)),"")</f>
        <v/>
      </c>
      <c r="G165" s="38" t="inlineStr">
        <is>
          <t>Credit Card</t>
        </is>
      </c>
      <c r="H165" s="38">
        <f>IFERROR(INDEX(Dim_Account[AccountID],MATCH($G165,Dim_Account[AccountName],0)),"")</f>
        <v/>
      </c>
      <c r="I165" s="38" t="inlineStr">
        <is>
          <t>Credit Card</t>
        </is>
      </c>
      <c r="J165" s="38">
        <f>IFERROR(INDEX(Dim_PaymentMethod[PaymentMethodID],MATCH($I165,Dim_PaymentMethod[MethodName],0)),"")</f>
        <v/>
      </c>
      <c r="K165" s="40" t="n">
        <v>51.09</v>
      </c>
      <c r="L165" s="38" t="inlineStr">
        <is>
          <t>Want</t>
        </is>
      </c>
      <c r="M165" s="38" t="inlineStr">
        <is>
          <t>No</t>
        </is>
      </c>
      <c r="N165" s="38" t="inlineStr"/>
      <c r="O165" s="38" t="n"/>
      <c r="P165" s="40">
        <f>IF(AND($B165&gt;=CurMonthStart,$B165&lt;=CurMonthEnd),$K165,0)</f>
        <v/>
      </c>
    </row>
    <row r="166">
      <c r="A166" s="38">
        <f>ROW()-5</f>
        <v/>
      </c>
      <c r="B166" s="39" t="n">
        <v>46176</v>
      </c>
      <c r="C166" s="38" t="inlineStr">
        <is>
          <t>Mortgage Lender</t>
        </is>
      </c>
      <c r="D166" s="38">
        <f>IFERROR(INDEX(Dim_Vendor[VendorID],MATCH($C166,Dim_Vendor[VendorName],0)),"")</f>
        <v/>
      </c>
      <c r="E166" s="38" t="inlineStr">
        <is>
          <t>Mortgage</t>
        </is>
      </c>
      <c r="F166" s="38">
        <f>IFERROR(INDEX(Dim_Category[CategoryID],MATCH($E166,Dim_Category[CategoryName],0)),"")</f>
        <v/>
      </c>
      <c r="G166" s="38" t="inlineStr">
        <is>
          <t>Checking</t>
        </is>
      </c>
      <c r="H166" s="38">
        <f>IFERROR(INDEX(Dim_Account[AccountID],MATCH($G166,Dim_Account[AccountName],0)),"")</f>
        <v/>
      </c>
      <c r="I166" s="38" t="inlineStr">
        <is>
          <t>ACH</t>
        </is>
      </c>
      <c r="J166" s="38">
        <f>IFERROR(INDEX(Dim_PaymentMethod[PaymentMethodID],MATCH($I166,Dim_PaymentMethod[MethodName],0)),"")</f>
        <v/>
      </c>
      <c r="K166" s="40" t="n">
        <v>2141.5</v>
      </c>
      <c r="L166" s="38" t="inlineStr">
        <is>
          <t>Need</t>
        </is>
      </c>
      <c r="M166" s="38" t="inlineStr">
        <is>
          <t>Yes</t>
        </is>
      </c>
      <c r="N166" s="38" t="inlineStr">
        <is>
          <t>Monthly mortgage payment</t>
        </is>
      </c>
      <c r="O166" s="38" t="n"/>
      <c r="P166" s="40">
        <f>IF(AND($B166&gt;=CurMonthStart,$B166&lt;=CurMonthEnd),$K166,0)</f>
        <v/>
      </c>
    </row>
    <row r="167">
      <c r="A167" s="38">
        <f>ROW()-5</f>
        <v/>
      </c>
      <c r="B167" s="39" t="n">
        <v>46179</v>
      </c>
      <c r="C167" s="38" t="inlineStr">
        <is>
          <t>Whole Foods</t>
        </is>
      </c>
      <c r="D167" s="38">
        <f>IFERROR(INDEX(Dim_Vendor[VendorID],MATCH($C167,Dim_Vendor[VendorName],0)),"")</f>
        <v/>
      </c>
      <c r="E167" s="38" t="inlineStr">
        <is>
          <t>Groceries</t>
        </is>
      </c>
      <c r="F167" s="38">
        <f>IFERROR(INDEX(Dim_Category[CategoryID],MATCH($E167,Dim_Category[CategoryName],0)),"")</f>
        <v/>
      </c>
      <c r="G167" s="38" t="inlineStr">
        <is>
          <t>Credit Card</t>
        </is>
      </c>
      <c r="H167" s="38">
        <f>IFERROR(INDEX(Dim_Account[AccountID],MATCH($G167,Dim_Account[AccountName],0)),"")</f>
        <v/>
      </c>
      <c r="I167" s="38" t="inlineStr">
        <is>
          <t>Credit Card</t>
        </is>
      </c>
      <c r="J167" s="38">
        <f>IFERROR(INDEX(Dim_PaymentMethod[PaymentMethodID],MATCH($I167,Dim_PaymentMethod[MethodName],0)),"")</f>
        <v/>
      </c>
      <c r="K167" s="40" t="n">
        <v>187.91</v>
      </c>
      <c r="L167" s="38" t="inlineStr">
        <is>
          <t>Need</t>
        </is>
      </c>
      <c r="M167" s="38" t="inlineStr">
        <is>
          <t>No</t>
        </is>
      </c>
      <c r="N167" s="38" t="inlineStr"/>
      <c r="O167" s="38" t="n"/>
      <c r="P167" s="40">
        <f>IF(AND($B167&gt;=CurMonthStart,$B167&lt;=CurMonthEnd),$K167,0)</f>
        <v/>
      </c>
    </row>
    <row r="168">
      <c r="A168" s="38">
        <f>ROW()-5</f>
        <v/>
      </c>
      <c r="B168" s="39" t="n">
        <v>46182</v>
      </c>
      <c r="C168" s="38" t="inlineStr">
        <is>
          <t>Costco</t>
        </is>
      </c>
      <c r="D168" s="38">
        <f>IFERROR(INDEX(Dim_Vendor[VendorID],MATCH($C168,Dim_Vendor[VendorName],0)),"")</f>
        <v/>
      </c>
      <c r="E168" s="38" t="inlineStr">
        <is>
          <t>Groceries</t>
        </is>
      </c>
      <c r="F168" s="38">
        <f>IFERROR(INDEX(Dim_Category[CategoryID],MATCH($E168,Dim_Category[CategoryName],0)),"")</f>
        <v/>
      </c>
      <c r="G168" s="38" t="inlineStr">
        <is>
          <t>Credit Card</t>
        </is>
      </c>
      <c r="H168" s="38">
        <f>IFERROR(INDEX(Dim_Account[AccountID],MATCH($G168,Dim_Account[AccountName],0)),"")</f>
        <v/>
      </c>
      <c r="I168" s="38" t="inlineStr">
        <is>
          <t>Credit Card</t>
        </is>
      </c>
      <c r="J168" s="38">
        <f>IFERROR(INDEX(Dim_PaymentMethod[PaymentMethodID],MATCH($I168,Dim_PaymentMethod[MethodName],0)),"")</f>
        <v/>
      </c>
      <c r="K168" s="40" t="n">
        <v>235.89</v>
      </c>
      <c r="L168" s="38" t="inlineStr">
        <is>
          <t>Need</t>
        </is>
      </c>
      <c r="M168" s="38" t="inlineStr">
        <is>
          <t>No</t>
        </is>
      </c>
      <c r="N168" s="38" t="inlineStr">
        <is>
          <t>Bulk groceries</t>
        </is>
      </c>
      <c r="O168" s="38" t="n"/>
      <c r="P168" s="40">
        <f>IF(AND($B168&gt;=CurMonthStart,$B168&lt;=CurMonthEnd),$K168,0)</f>
        <v/>
      </c>
    </row>
    <row r="169">
      <c r="A169" s="38">
        <f>ROW()-5</f>
        <v/>
      </c>
      <c r="B169" s="39" t="n">
        <v>46185</v>
      </c>
      <c r="C169" s="38" t="inlineStr">
        <is>
          <t>Shell Gas Station</t>
        </is>
      </c>
      <c r="D169" s="38">
        <f>IFERROR(INDEX(Dim_Vendor[VendorID],MATCH($C169,Dim_Vendor[VendorName],0)),"")</f>
        <v/>
      </c>
      <c r="E169" s="38" t="inlineStr">
        <is>
          <t>Car</t>
        </is>
      </c>
      <c r="F169" s="38">
        <f>IFERROR(INDEX(Dim_Category[CategoryID],MATCH($E169,Dim_Category[CategoryName],0)),"")</f>
        <v/>
      </c>
      <c r="G169" s="38" t="inlineStr">
        <is>
          <t>Credit Card</t>
        </is>
      </c>
      <c r="H169" s="38">
        <f>IFERROR(INDEX(Dim_Account[AccountID],MATCH($G169,Dim_Account[AccountName],0)),"")</f>
        <v/>
      </c>
      <c r="I169" s="38" t="inlineStr">
        <is>
          <t>Credit Card</t>
        </is>
      </c>
      <c r="J169" s="38">
        <f>IFERROR(INDEX(Dim_PaymentMethod[PaymentMethodID],MATCH($I169,Dim_PaymentMethod[MethodName],0)),"")</f>
        <v/>
      </c>
      <c r="K169" s="40" t="n">
        <v>55.42</v>
      </c>
      <c r="L169" s="38" t="inlineStr">
        <is>
          <t>Need</t>
        </is>
      </c>
      <c r="M169" s="38" t="inlineStr">
        <is>
          <t>No</t>
        </is>
      </c>
      <c r="N169" s="38" t="inlineStr">
        <is>
          <t>Gas</t>
        </is>
      </c>
      <c r="O169" s="38" t="n"/>
      <c r="P169" s="40">
        <f>IF(AND($B169&gt;=CurMonthStart,$B169&lt;=CurMonthEnd),$K169,0)</f>
        <v/>
      </c>
    </row>
    <row r="170">
      <c r="A170" s="38">
        <f>ROW()-5</f>
        <v/>
      </c>
      <c r="B170" s="39" t="n">
        <v>46188</v>
      </c>
      <c r="C170" s="38" t="inlineStr">
        <is>
          <t>AutoZone</t>
        </is>
      </c>
      <c r="D170" s="38">
        <f>IFERROR(INDEX(Dim_Vendor[VendorID],MATCH($C170,Dim_Vendor[VendorName],0)),"")</f>
        <v/>
      </c>
      <c r="E170" s="38" t="inlineStr">
        <is>
          <t>Car</t>
        </is>
      </c>
      <c r="F170" s="38">
        <f>IFERROR(INDEX(Dim_Category[CategoryID],MATCH($E170,Dim_Category[CategoryName],0)),"")</f>
        <v/>
      </c>
      <c r="G170" s="38" t="inlineStr">
        <is>
          <t>Credit Card</t>
        </is>
      </c>
      <c r="H170" s="38">
        <f>IFERROR(INDEX(Dim_Account[AccountID],MATCH($G170,Dim_Account[AccountName],0)),"")</f>
        <v/>
      </c>
      <c r="I170" s="38" t="inlineStr">
        <is>
          <t>Credit Card</t>
        </is>
      </c>
      <c r="J170" s="38">
        <f>IFERROR(INDEX(Dim_PaymentMethod[PaymentMethodID],MATCH($I170,Dim_PaymentMethod[MethodName],0)),"")</f>
        <v/>
      </c>
      <c r="K170" s="40" t="n">
        <v>38.27</v>
      </c>
      <c r="L170" s="38" t="inlineStr">
        <is>
          <t>Need</t>
        </is>
      </c>
      <c r="M170" s="38" t="inlineStr">
        <is>
          <t>No</t>
        </is>
      </c>
      <c r="N170" s="38" t="inlineStr">
        <is>
          <t>Wiper blades / oil</t>
        </is>
      </c>
      <c r="O170" s="38" t="n"/>
      <c r="P170" s="40">
        <f>IF(AND($B170&gt;=CurMonthStart,$B170&lt;=CurMonthEnd),$K170,0)</f>
        <v/>
      </c>
    </row>
    <row r="171">
      <c r="A171" s="38">
        <f>ROW()-5</f>
        <v/>
      </c>
      <c r="B171" s="39" t="n">
        <v>46191</v>
      </c>
      <c r="C171" s="38" t="inlineStr">
        <is>
          <t>City Electric Co</t>
        </is>
      </c>
      <c r="D171" s="38">
        <f>IFERROR(INDEX(Dim_Vendor[VendorID],MATCH($C171,Dim_Vendor[VendorName],0)),"")</f>
        <v/>
      </c>
      <c r="E171" s="38" t="inlineStr">
        <is>
          <t>Utilities</t>
        </is>
      </c>
      <c r="F171" s="38">
        <f>IFERROR(INDEX(Dim_Category[CategoryID],MATCH($E171,Dim_Category[CategoryName],0)),"")</f>
        <v/>
      </c>
      <c r="G171" s="38" t="inlineStr">
        <is>
          <t>Checking</t>
        </is>
      </c>
      <c r="H171" s="38">
        <f>IFERROR(INDEX(Dim_Account[AccountID],MATCH($G171,Dim_Account[AccountName],0)),"")</f>
        <v/>
      </c>
      <c r="I171" s="38" t="inlineStr">
        <is>
          <t>ACH</t>
        </is>
      </c>
      <c r="J171" s="38">
        <f>IFERROR(INDEX(Dim_PaymentMethod[PaymentMethodID],MATCH($I171,Dim_PaymentMethod[MethodName],0)),"")</f>
        <v/>
      </c>
      <c r="K171" s="40" t="n">
        <v>122.67</v>
      </c>
      <c r="L171" s="38" t="inlineStr">
        <is>
          <t>Need</t>
        </is>
      </c>
      <c r="M171" s="38" t="inlineStr">
        <is>
          <t>Yes</t>
        </is>
      </c>
      <c r="N171" s="38" t="inlineStr"/>
      <c r="O171" s="38" t="n"/>
      <c r="P171" s="40">
        <f>IF(AND($B171&gt;=CurMonthStart,$B171&lt;=CurMonthEnd),$K171,0)</f>
        <v/>
      </c>
    </row>
    <row r="172">
      <c r="A172" s="38">
        <f>ROW()-5</f>
        <v/>
      </c>
      <c r="B172" s="39" t="n">
        <v>46194</v>
      </c>
      <c r="C172" s="38" t="inlineStr">
        <is>
          <t>Comcast Xfinity</t>
        </is>
      </c>
      <c r="D172" s="38">
        <f>IFERROR(INDEX(Dim_Vendor[VendorID],MATCH($C172,Dim_Vendor[VendorName],0)),"")</f>
        <v/>
      </c>
      <c r="E172" s="38" t="inlineStr">
        <is>
          <t>Utilities</t>
        </is>
      </c>
      <c r="F172" s="38">
        <f>IFERROR(INDEX(Dim_Category[CategoryID],MATCH($E172,Dim_Category[CategoryName],0)),"")</f>
        <v/>
      </c>
      <c r="G172" s="38" t="inlineStr">
        <is>
          <t>Checking</t>
        </is>
      </c>
      <c r="H172" s="38">
        <f>IFERROR(INDEX(Dim_Account[AccountID],MATCH($G172,Dim_Account[AccountName],0)),"")</f>
        <v/>
      </c>
      <c r="I172" s="38" t="inlineStr">
        <is>
          <t>ACH</t>
        </is>
      </c>
      <c r="J172" s="38">
        <f>IFERROR(INDEX(Dim_PaymentMethod[PaymentMethodID],MATCH($I172,Dim_PaymentMethod[MethodName],0)),"")</f>
        <v/>
      </c>
      <c r="K172" s="40" t="n">
        <v>80.48999999999999</v>
      </c>
      <c r="L172" s="38" t="inlineStr">
        <is>
          <t>Need</t>
        </is>
      </c>
      <c r="M172" s="38" t="inlineStr">
        <is>
          <t>Yes</t>
        </is>
      </c>
      <c r="N172" s="38" t="inlineStr">
        <is>
          <t>Internet</t>
        </is>
      </c>
      <c r="O172" s="38" t="n"/>
      <c r="P172" s="40">
        <f>IF(AND($B172&gt;=CurMonthStart,$B172&lt;=CurMonthEnd),$K172,0)</f>
        <v/>
      </c>
    </row>
    <row r="173">
      <c r="A173" s="38">
        <f>ROW()-5</f>
        <v/>
      </c>
      <c r="B173" s="39" t="n">
        <v>46197</v>
      </c>
      <c r="C173" s="38" t="inlineStr">
        <is>
          <t>Verizon Wireless</t>
        </is>
      </c>
      <c r="D173" s="38">
        <f>IFERROR(INDEX(Dim_Vendor[VendorID],MATCH($C173,Dim_Vendor[VendorName],0)),"")</f>
        <v/>
      </c>
      <c r="E173" s="38" t="inlineStr">
        <is>
          <t>Utilities</t>
        </is>
      </c>
      <c r="F173" s="38">
        <f>IFERROR(INDEX(Dim_Category[CategoryID],MATCH($E173,Dim_Category[CategoryName],0)),"")</f>
        <v/>
      </c>
      <c r="G173" s="38" t="inlineStr">
        <is>
          <t>Checking</t>
        </is>
      </c>
      <c r="H173" s="38">
        <f>IFERROR(INDEX(Dim_Account[AccountID],MATCH($G173,Dim_Account[AccountName],0)),"")</f>
        <v/>
      </c>
      <c r="I173" s="38" t="inlineStr">
        <is>
          <t>ACH</t>
        </is>
      </c>
      <c r="J173" s="38">
        <f>IFERROR(INDEX(Dim_PaymentMethod[PaymentMethodID],MATCH($I173,Dim_PaymentMethod[MethodName],0)),"")</f>
        <v/>
      </c>
      <c r="K173" s="40" t="n">
        <v>98.48999999999999</v>
      </c>
      <c r="L173" s="38" t="inlineStr">
        <is>
          <t>Need</t>
        </is>
      </c>
      <c r="M173" s="38" t="inlineStr">
        <is>
          <t>Yes</t>
        </is>
      </c>
      <c r="N173" s="38" t="inlineStr">
        <is>
          <t>Mobile phone</t>
        </is>
      </c>
      <c r="O173" s="38" t="n"/>
      <c r="P173" s="40">
        <f>IF(AND($B173&gt;=CurMonthStart,$B173&lt;=CurMonthEnd),$K173,0)</f>
        <v/>
      </c>
    </row>
    <row r="174">
      <c r="A174" s="38">
        <f>ROW()-5</f>
        <v/>
      </c>
      <c r="B174" s="39" t="n">
        <v>46200</v>
      </c>
      <c r="C174" s="38" t="inlineStr">
        <is>
          <t>State Farm Insurance</t>
        </is>
      </c>
      <c r="D174" s="38">
        <f>IFERROR(INDEX(Dim_Vendor[VendorID],MATCH($C174,Dim_Vendor[VendorName],0)),"")</f>
        <v/>
      </c>
      <c r="E174" s="38" t="inlineStr">
        <is>
          <t>Insurance</t>
        </is>
      </c>
      <c r="F174" s="38">
        <f>IFERROR(INDEX(Dim_Category[CategoryID],MATCH($E174,Dim_Category[CategoryName],0)),"")</f>
        <v/>
      </c>
      <c r="G174" s="38" t="inlineStr">
        <is>
          <t>Checking</t>
        </is>
      </c>
      <c r="H174" s="38">
        <f>IFERROR(INDEX(Dim_Account[AccountID],MATCH($G174,Dim_Account[AccountName],0)),"")</f>
        <v/>
      </c>
      <c r="I174" s="38" t="inlineStr">
        <is>
          <t>ACH</t>
        </is>
      </c>
      <c r="J174" s="38">
        <f>IFERROR(INDEX(Dim_PaymentMethod[PaymentMethodID],MATCH($I174,Dim_PaymentMethod[MethodName],0)),"")</f>
        <v/>
      </c>
      <c r="K174" s="40" t="n">
        <v>135.21</v>
      </c>
      <c r="L174" s="38" t="inlineStr">
        <is>
          <t>Need</t>
        </is>
      </c>
      <c r="M174" s="38" t="inlineStr">
        <is>
          <t>Yes</t>
        </is>
      </c>
      <c r="N174" s="38" t="inlineStr">
        <is>
          <t>Auto + home insurance</t>
        </is>
      </c>
      <c r="O174" s="38" t="n"/>
      <c r="P174" s="40">
        <f>IF(AND($B174&gt;=CurMonthStart,$B174&lt;=CurMonthEnd),$K174,0)</f>
        <v/>
      </c>
    </row>
    <row r="175">
      <c r="A175" s="38">
        <f>ROW()-5</f>
        <v/>
      </c>
      <c r="B175" s="39" t="n">
        <v>46176</v>
      </c>
      <c r="C175" s="38" t="inlineStr">
        <is>
          <t>Kaiser Permanente</t>
        </is>
      </c>
      <c r="D175" s="38">
        <f>IFERROR(INDEX(Dim_Vendor[VendorID],MATCH($C175,Dim_Vendor[VendorName],0)),"")</f>
        <v/>
      </c>
      <c r="E175" s="38" t="inlineStr">
        <is>
          <t>Healthcare</t>
        </is>
      </c>
      <c r="F175" s="38">
        <f>IFERROR(INDEX(Dim_Category[CategoryID],MATCH($E175,Dim_Category[CategoryName],0)),"")</f>
        <v/>
      </c>
      <c r="G175" s="38" t="inlineStr">
        <is>
          <t>Credit Card</t>
        </is>
      </c>
      <c r="H175" s="38">
        <f>IFERROR(INDEX(Dim_Account[AccountID],MATCH($G175,Dim_Account[AccountName],0)),"")</f>
        <v/>
      </c>
      <c r="I175" s="38" t="inlineStr">
        <is>
          <t>Credit Card</t>
        </is>
      </c>
      <c r="J175" s="38">
        <f>IFERROR(INDEX(Dim_PaymentMethod[PaymentMethodID],MATCH($I175,Dim_PaymentMethod[MethodName],0)),"")</f>
        <v/>
      </c>
      <c r="K175" s="40" t="n">
        <v>43.64</v>
      </c>
      <c r="L175" s="38" t="inlineStr">
        <is>
          <t>Need</t>
        </is>
      </c>
      <c r="M175" s="38" t="inlineStr">
        <is>
          <t>No</t>
        </is>
      </c>
      <c r="N175" s="38" t="inlineStr">
        <is>
          <t>Copay</t>
        </is>
      </c>
      <c r="O175" s="38" t="n"/>
      <c r="P175" s="40">
        <f>IF(AND($B175&gt;=CurMonthStart,$B175&lt;=CurMonthEnd),$K175,0)</f>
        <v/>
      </c>
    </row>
    <row r="176">
      <c r="A176" s="38">
        <f>ROW()-5</f>
        <v/>
      </c>
      <c r="B176" s="39" t="n">
        <v>46179</v>
      </c>
      <c r="C176" s="38" t="inlineStr">
        <is>
          <t>Chipotle</t>
        </is>
      </c>
      <c r="D176" s="38">
        <f>IFERROR(INDEX(Dim_Vendor[VendorID],MATCH($C176,Dim_Vendor[VendorName],0)),"")</f>
        <v/>
      </c>
      <c r="E176" s="38" t="inlineStr">
        <is>
          <t>Dining &amp; Entertainment</t>
        </is>
      </c>
      <c r="F176" s="38">
        <f>IFERROR(INDEX(Dim_Category[CategoryID],MATCH($E176,Dim_Category[CategoryName],0)),"")</f>
        <v/>
      </c>
      <c r="G176" s="38" t="inlineStr">
        <is>
          <t>Credit Card</t>
        </is>
      </c>
      <c r="H176" s="38">
        <f>IFERROR(INDEX(Dim_Account[AccountID],MATCH($G176,Dim_Account[AccountName],0)),"")</f>
        <v/>
      </c>
      <c r="I176" s="38" t="inlineStr">
        <is>
          <t>Credit Card</t>
        </is>
      </c>
      <c r="J176" s="38">
        <f>IFERROR(INDEX(Dim_PaymentMethod[PaymentMethodID],MATCH($I176,Dim_PaymentMethod[MethodName],0)),"")</f>
        <v/>
      </c>
      <c r="K176" s="40" t="n">
        <v>14.25</v>
      </c>
      <c r="L176" s="38" t="inlineStr">
        <is>
          <t>Want</t>
        </is>
      </c>
      <c r="M176" s="38" t="inlineStr">
        <is>
          <t>No</t>
        </is>
      </c>
      <c r="N176" s="38" t="inlineStr"/>
      <c r="O176" s="38" t="n"/>
      <c r="P176" s="40">
        <f>IF(AND($B176&gt;=CurMonthStart,$B176&lt;=CurMonthEnd),$K176,0)</f>
        <v/>
      </c>
    </row>
    <row r="177">
      <c r="A177" s="38">
        <f>ROW()-5</f>
        <v/>
      </c>
      <c r="B177" s="39" t="n">
        <v>46182</v>
      </c>
      <c r="C177" s="38" t="inlineStr">
        <is>
          <t>Netflix</t>
        </is>
      </c>
      <c r="D177" s="38">
        <f>IFERROR(INDEX(Dim_Vendor[VendorID],MATCH($C177,Dim_Vendor[VendorName],0)),"")</f>
        <v/>
      </c>
      <c r="E177" s="38" t="inlineStr">
        <is>
          <t>Dining &amp; Entertainment</t>
        </is>
      </c>
      <c r="F177" s="38">
        <f>IFERROR(INDEX(Dim_Category[CategoryID],MATCH($E177,Dim_Category[CategoryName],0)),"")</f>
        <v/>
      </c>
      <c r="G177" s="38" t="inlineStr">
        <is>
          <t>Credit Card</t>
        </is>
      </c>
      <c r="H177" s="38">
        <f>IFERROR(INDEX(Dim_Account[AccountID],MATCH($G177,Dim_Account[AccountName],0)),"")</f>
        <v/>
      </c>
      <c r="I177" s="38" t="inlineStr">
        <is>
          <t>Credit Card</t>
        </is>
      </c>
      <c r="J177" s="38">
        <f>IFERROR(INDEX(Dim_PaymentMethod[PaymentMethodID],MATCH($I177,Dim_PaymentMethod[MethodName],0)),"")</f>
        <v/>
      </c>
      <c r="K177" s="40" t="n">
        <v>15.49</v>
      </c>
      <c r="L177" s="38" t="inlineStr">
        <is>
          <t>Want</t>
        </is>
      </c>
      <c r="M177" s="38" t="inlineStr">
        <is>
          <t>Yes</t>
        </is>
      </c>
      <c r="N177" s="38" t="inlineStr">
        <is>
          <t>Streaming subscription</t>
        </is>
      </c>
      <c r="O177" s="38" t="n"/>
      <c r="P177" s="40">
        <f>IF(AND($B177&gt;=CurMonthStart,$B177&lt;=CurMonthEnd),$K177,0)</f>
        <v/>
      </c>
    </row>
    <row r="178">
      <c r="A178" s="38">
        <f>ROW()-5</f>
        <v/>
      </c>
      <c r="B178" s="39" t="n">
        <v>46185</v>
      </c>
      <c r="C178" s="38" t="inlineStr">
        <is>
          <t>AMC Theatres</t>
        </is>
      </c>
      <c r="D178" s="38">
        <f>IFERROR(INDEX(Dim_Vendor[VendorID],MATCH($C178,Dim_Vendor[VendorName],0)),"")</f>
        <v/>
      </c>
      <c r="E178" s="38" t="inlineStr">
        <is>
          <t>Dining &amp; Entertainment</t>
        </is>
      </c>
      <c r="F178" s="38">
        <f>IFERROR(INDEX(Dim_Category[CategoryID],MATCH($E178,Dim_Category[CategoryName],0)),"")</f>
        <v/>
      </c>
      <c r="G178" s="38" t="inlineStr">
        <is>
          <t>Credit Card</t>
        </is>
      </c>
      <c r="H178" s="38">
        <f>IFERROR(INDEX(Dim_Account[AccountID],MATCH($G178,Dim_Account[AccountName],0)),"")</f>
        <v/>
      </c>
      <c r="I178" s="38" t="inlineStr">
        <is>
          <t>Credit Card</t>
        </is>
      </c>
      <c r="J178" s="38">
        <f>IFERROR(INDEX(Dim_PaymentMethod[PaymentMethodID],MATCH($I178,Dim_PaymentMethod[MethodName],0)),"")</f>
        <v/>
      </c>
      <c r="K178" s="40" t="n">
        <v>34.54</v>
      </c>
      <c r="L178" s="38" t="inlineStr">
        <is>
          <t>Want</t>
        </is>
      </c>
      <c r="M178" s="38" t="inlineStr">
        <is>
          <t>No</t>
        </is>
      </c>
      <c r="N178" s="38" t="inlineStr"/>
      <c r="O178" s="38" t="n"/>
      <c r="P178" s="40">
        <f>IF(AND($B178&gt;=CurMonthStart,$B178&lt;=CurMonthEnd),$K178,0)</f>
        <v/>
      </c>
    </row>
    <row r="179">
      <c r="A179" s="38">
        <f>ROW()-5</f>
        <v/>
      </c>
      <c r="B179" s="39" t="n">
        <v>46188</v>
      </c>
      <c r="C179" s="38" t="inlineStr">
        <is>
          <t>Planet Fitness</t>
        </is>
      </c>
      <c r="D179" s="38">
        <f>IFERROR(INDEX(Dim_Vendor[VendorID],MATCH($C179,Dim_Vendor[VendorName],0)),"")</f>
        <v/>
      </c>
      <c r="E179" s="38" t="inlineStr">
        <is>
          <t>Personal Care</t>
        </is>
      </c>
      <c r="F179" s="38">
        <f>IFERROR(INDEX(Dim_Category[CategoryID],MATCH($E179,Dim_Category[CategoryName],0)),"")</f>
        <v/>
      </c>
      <c r="G179" s="38" t="inlineStr">
        <is>
          <t>Checking</t>
        </is>
      </c>
      <c r="H179" s="38">
        <f>IFERROR(INDEX(Dim_Account[AccountID],MATCH($G179,Dim_Account[AccountName],0)),"")</f>
        <v/>
      </c>
      <c r="I179" s="38" t="inlineStr">
        <is>
          <t>ACH</t>
        </is>
      </c>
      <c r="J179" s="38">
        <f>IFERROR(INDEX(Dim_PaymentMethod[PaymentMethodID],MATCH($I179,Dim_PaymentMethod[MethodName],0)),"")</f>
        <v/>
      </c>
      <c r="K179" s="40" t="n">
        <v>25.59</v>
      </c>
      <c r="L179" s="38" t="inlineStr">
        <is>
          <t>Want</t>
        </is>
      </c>
      <c r="M179" s="38" t="inlineStr">
        <is>
          <t>Yes</t>
        </is>
      </c>
      <c r="N179" s="38" t="inlineStr">
        <is>
          <t>Gym membership</t>
        </is>
      </c>
      <c r="O179" s="38" t="n"/>
      <c r="P179" s="40">
        <f>IF(AND($B179&gt;=CurMonthStart,$B179&lt;=CurMonthEnd),$K179,0)</f>
        <v/>
      </c>
    </row>
    <row r="180">
      <c r="A180" s="38">
        <f>ROW()-5</f>
        <v/>
      </c>
      <c r="B180" s="39" t="n">
        <v>46191</v>
      </c>
      <c r="C180" s="38" t="inlineStr">
        <is>
          <t>Amazon</t>
        </is>
      </c>
      <c r="D180" s="38">
        <f>IFERROR(INDEX(Dim_Vendor[VendorID],MATCH($C180,Dim_Vendor[VendorName],0)),"")</f>
        <v/>
      </c>
      <c r="E180" s="38" t="inlineStr">
        <is>
          <t>Shopping</t>
        </is>
      </c>
      <c r="F180" s="38">
        <f>IFERROR(INDEX(Dim_Category[CategoryID],MATCH($E180,Dim_Category[CategoryName],0)),"")</f>
        <v/>
      </c>
      <c r="G180" s="38" t="inlineStr">
        <is>
          <t>Credit Card</t>
        </is>
      </c>
      <c r="H180" s="38">
        <f>IFERROR(INDEX(Dim_Account[AccountID],MATCH($G180,Dim_Account[AccountName],0)),"")</f>
        <v/>
      </c>
      <c r="I180" s="38" t="inlineStr">
        <is>
          <t>Credit Card</t>
        </is>
      </c>
      <c r="J180" s="38">
        <f>IFERROR(INDEX(Dim_PaymentMethod[PaymentMethodID],MATCH($I180,Dim_PaymentMethod[MethodName],0)),"")</f>
        <v/>
      </c>
      <c r="K180" s="40" t="n">
        <v>67.79000000000001</v>
      </c>
      <c r="L180" s="38" t="inlineStr">
        <is>
          <t>Want</t>
        </is>
      </c>
      <c r="M180" s="38" t="inlineStr">
        <is>
          <t>No</t>
        </is>
      </c>
      <c r="N180" s="38" t="inlineStr"/>
      <c r="O180" s="38" t="n"/>
      <c r="P180" s="40">
        <f>IF(AND($B180&gt;=CurMonthStart,$B180&lt;=CurMonthEnd),$K180,0)</f>
        <v/>
      </c>
    </row>
    <row r="181">
      <c r="A181" s="38">
        <f>ROW()-5</f>
        <v/>
      </c>
      <c r="B181" s="39" t="n">
        <v>46194</v>
      </c>
      <c r="C181" s="38" t="inlineStr">
        <is>
          <t>Target</t>
        </is>
      </c>
      <c r="D181" s="38">
        <f>IFERROR(INDEX(Dim_Vendor[VendorID],MATCH($C181,Dim_Vendor[VendorName],0)),"")</f>
        <v/>
      </c>
      <c r="E181" s="38" t="inlineStr">
        <is>
          <t>Shopping</t>
        </is>
      </c>
      <c r="F181" s="38">
        <f>IFERROR(INDEX(Dim_Category[CategoryID],MATCH($E181,Dim_Category[CategoryName],0)),"")</f>
        <v/>
      </c>
      <c r="G181" s="38" t="inlineStr">
        <is>
          <t>Credit Card</t>
        </is>
      </c>
      <c r="H181" s="38">
        <f>IFERROR(INDEX(Dim_Account[AccountID],MATCH($G181,Dim_Account[AccountName],0)),"")</f>
        <v/>
      </c>
      <c r="I181" s="38" t="inlineStr">
        <is>
          <t>Credit Card</t>
        </is>
      </c>
      <c r="J181" s="38">
        <f>IFERROR(INDEX(Dim_PaymentMethod[PaymentMethodID],MATCH($I181,Dim_PaymentMethod[MethodName],0)),"")</f>
        <v/>
      </c>
      <c r="K181" s="40" t="n">
        <v>54.47</v>
      </c>
      <c r="L181" s="38" t="inlineStr">
        <is>
          <t>Want</t>
        </is>
      </c>
      <c r="M181" s="38" t="inlineStr">
        <is>
          <t>No</t>
        </is>
      </c>
      <c r="N181" s="38" t="inlineStr"/>
      <c r="O181" s="38" t="n"/>
      <c r="P181" s="40">
        <f>IF(AND($B181&gt;=CurMonthStart,$B181&lt;=CurMonthEnd),$K181,0)</f>
        <v/>
      </c>
    </row>
    <row r="182">
      <c r="A182" s="38">
        <f>ROW()-5</f>
        <v/>
      </c>
      <c r="B182" s="39" t="n">
        <v>46206</v>
      </c>
      <c r="C182" s="38" t="inlineStr">
        <is>
          <t>Mortgage Lender</t>
        </is>
      </c>
      <c r="D182" s="38">
        <f>IFERROR(INDEX(Dim_Vendor[VendorID],MATCH($C182,Dim_Vendor[VendorName],0)),"")</f>
        <v/>
      </c>
      <c r="E182" s="38" t="inlineStr">
        <is>
          <t>Mortgage</t>
        </is>
      </c>
      <c r="F182" s="38">
        <f>IFERROR(INDEX(Dim_Category[CategoryID],MATCH($E182,Dim_Category[CategoryName],0)),"")</f>
        <v/>
      </c>
      <c r="G182" s="38" t="inlineStr">
        <is>
          <t>Checking</t>
        </is>
      </c>
      <c r="H182" s="38">
        <f>IFERROR(INDEX(Dim_Account[AccountID],MATCH($G182,Dim_Account[AccountName],0)),"")</f>
        <v/>
      </c>
      <c r="I182" s="38" t="inlineStr">
        <is>
          <t>ACH</t>
        </is>
      </c>
      <c r="J182" s="38">
        <f>IFERROR(INDEX(Dim_PaymentMethod[PaymentMethodID],MATCH($I182,Dim_PaymentMethod[MethodName],0)),"")</f>
        <v/>
      </c>
      <c r="K182" s="40" t="n">
        <v>2019.63</v>
      </c>
      <c r="L182" s="38" t="inlineStr">
        <is>
          <t>Need</t>
        </is>
      </c>
      <c r="M182" s="38" t="inlineStr">
        <is>
          <t>Yes</t>
        </is>
      </c>
      <c r="N182" s="38" t="inlineStr">
        <is>
          <t>Monthly mortgage payment</t>
        </is>
      </c>
      <c r="O182" s="38" t="n"/>
      <c r="P182" s="40">
        <f>IF(AND($B182&gt;=CurMonthStart,$B182&lt;=CurMonthEnd),$K182,0)</f>
        <v/>
      </c>
    </row>
    <row r="183">
      <c r="A183" s="38">
        <f>ROW()-5</f>
        <v/>
      </c>
      <c r="B183" s="39" t="n">
        <v>46209</v>
      </c>
      <c r="C183" s="38" t="inlineStr">
        <is>
          <t>Whole Foods</t>
        </is>
      </c>
      <c r="D183" s="38">
        <f>IFERROR(INDEX(Dim_Vendor[VendorID],MATCH($C183,Dim_Vendor[VendorName],0)),"")</f>
        <v/>
      </c>
      <c r="E183" s="38" t="inlineStr">
        <is>
          <t>Groceries</t>
        </is>
      </c>
      <c r="F183" s="38">
        <f>IFERROR(INDEX(Dim_Category[CategoryID],MATCH($E183,Dim_Category[CategoryName],0)),"")</f>
        <v/>
      </c>
      <c r="G183" s="38" t="inlineStr">
        <is>
          <t>Credit Card</t>
        </is>
      </c>
      <c r="H183" s="38">
        <f>IFERROR(INDEX(Dim_Account[AccountID],MATCH($G183,Dim_Account[AccountName],0)),"")</f>
        <v/>
      </c>
      <c r="I183" s="38" t="inlineStr">
        <is>
          <t>Credit Card</t>
        </is>
      </c>
      <c r="J183" s="38">
        <f>IFERROR(INDEX(Dim_PaymentMethod[PaymentMethodID],MATCH($I183,Dim_PaymentMethod[MethodName],0)),"")</f>
        <v/>
      </c>
      <c r="K183" s="40" t="n">
        <v>178.21</v>
      </c>
      <c r="L183" s="38" t="inlineStr">
        <is>
          <t>Need</t>
        </is>
      </c>
      <c r="M183" s="38" t="inlineStr">
        <is>
          <t>No</t>
        </is>
      </c>
      <c r="N183" s="38" t="inlineStr"/>
      <c r="O183" s="38" t="n"/>
      <c r="P183" s="40">
        <f>IF(AND($B183&gt;=CurMonthStart,$B183&lt;=CurMonthEnd),$K183,0)</f>
        <v/>
      </c>
    </row>
    <row r="184">
      <c r="A184" s="38">
        <f>ROW()-5</f>
        <v/>
      </c>
      <c r="B184" s="39" t="n">
        <v>46212</v>
      </c>
      <c r="C184" s="38" t="inlineStr">
        <is>
          <t>Costco</t>
        </is>
      </c>
      <c r="D184" s="38">
        <f>IFERROR(INDEX(Dim_Vendor[VendorID],MATCH($C184,Dim_Vendor[VendorName],0)),"")</f>
        <v/>
      </c>
      <c r="E184" s="38" t="inlineStr">
        <is>
          <t>Groceries</t>
        </is>
      </c>
      <c r="F184" s="38">
        <f>IFERROR(INDEX(Dim_Category[CategoryID],MATCH($E184,Dim_Category[CategoryName],0)),"")</f>
        <v/>
      </c>
      <c r="G184" s="38" t="inlineStr">
        <is>
          <t>Credit Card</t>
        </is>
      </c>
      <c r="H184" s="38">
        <f>IFERROR(INDEX(Dim_Account[AccountID],MATCH($G184,Dim_Account[AccountName],0)),"")</f>
        <v/>
      </c>
      <c r="I184" s="38" t="inlineStr">
        <is>
          <t>Credit Card</t>
        </is>
      </c>
      <c r="J184" s="38">
        <f>IFERROR(INDEX(Dim_PaymentMethod[PaymentMethodID],MATCH($I184,Dim_PaymentMethod[MethodName],0)),"")</f>
        <v/>
      </c>
      <c r="K184" s="40" t="n">
        <v>238.75</v>
      </c>
      <c r="L184" s="38" t="inlineStr">
        <is>
          <t>Need</t>
        </is>
      </c>
      <c r="M184" s="38" t="inlineStr">
        <is>
          <t>No</t>
        </is>
      </c>
      <c r="N184" s="38" t="inlineStr">
        <is>
          <t>Bulk groceries</t>
        </is>
      </c>
      <c r="O184" s="38" t="n"/>
      <c r="P184" s="40">
        <f>IF(AND($B184&gt;=CurMonthStart,$B184&lt;=CurMonthEnd),$K184,0)</f>
        <v/>
      </c>
    </row>
    <row r="185">
      <c r="A185" s="38">
        <f>ROW()-5</f>
        <v/>
      </c>
      <c r="B185" s="39" t="n">
        <v>46215</v>
      </c>
      <c r="C185" s="38" t="inlineStr">
        <is>
          <t>Shell Gas Station</t>
        </is>
      </c>
      <c r="D185" s="38">
        <f>IFERROR(INDEX(Dim_Vendor[VendorID],MATCH($C185,Dim_Vendor[VendorName],0)),"")</f>
        <v/>
      </c>
      <c r="E185" s="38" t="inlineStr">
        <is>
          <t>Car</t>
        </is>
      </c>
      <c r="F185" s="38">
        <f>IFERROR(INDEX(Dim_Category[CategoryID],MATCH($E185,Dim_Category[CategoryName],0)),"")</f>
        <v/>
      </c>
      <c r="G185" s="38" t="inlineStr">
        <is>
          <t>Credit Card</t>
        </is>
      </c>
      <c r="H185" s="38">
        <f>IFERROR(INDEX(Dim_Account[AccountID],MATCH($G185,Dim_Account[AccountName],0)),"")</f>
        <v/>
      </c>
      <c r="I185" s="38" t="inlineStr">
        <is>
          <t>Credit Card</t>
        </is>
      </c>
      <c r="J185" s="38">
        <f>IFERROR(INDEX(Dim_PaymentMethod[PaymentMethodID],MATCH($I185,Dim_PaymentMethod[MethodName],0)),"")</f>
        <v/>
      </c>
      <c r="K185" s="40" t="n">
        <v>53.04</v>
      </c>
      <c r="L185" s="38" t="inlineStr">
        <is>
          <t>Need</t>
        </is>
      </c>
      <c r="M185" s="38" t="inlineStr">
        <is>
          <t>No</t>
        </is>
      </c>
      <c r="N185" s="38" t="inlineStr">
        <is>
          <t>Gas</t>
        </is>
      </c>
      <c r="O185" s="38" t="n"/>
      <c r="P185" s="40">
        <f>IF(AND($B185&gt;=CurMonthStart,$B185&lt;=CurMonthEnd),$K185,0)</f>
        <v/>
      </c>
    </row>
    <row r="186">
      <c r="A186" s="38">
        <f>ROW()-5</f>
        <v/>
      </c>
      <c r="B186" s="39" t="n">
        <v>46218</v>
      </c>
      <c r="C186" s="38" t="inlineStr">
        <is>
          <t>AutoZone</t>
        </is>
      </c>
      <c r="D186" s="38">
        <f>IFERROR(INDEX(Dim_Vendor[VendorID],MATCH($C186,Dim_Vendor[VendorName],0)),"")</f>
        <v/>
      </c>
      <c r="E186" s="38" t="inlineStr">
        <is>
          <t>Car</t>
        </is>
      </c>
      <c r="F186" s="38">
        <f>IFERROR(INDEX(Dim_Category[CategoryID],MATCH($E186,Dim_Category[CategoryName],0)),"")</f>
        <v/>
      </c>
      <c r="G186" s="38" t="inlineStr">
        <is>
          <t>Credit Card</t>
        </is>
      </c>
      <c r="H186" s="38">
        <f>IFERROR(INDEX(Dim_Account[AccountID],MATCH($G186,Dim_Account[AccountName],0)),"")</f>
        <v/>
      </c>
      <c r="I186" s="38" t="inlineStr">
        <is>
          <t>Credit Card</t>
        </is>
      </c>
      <c r="J186" s="38">
        <f>IFERROR(INDEX(Dim_PaymentMethod[PaymentMethodID],MATCH($I186,Dim_PaymentMethod[MethodName],0)),"")</f>
        <v/>
      </c>
      <c r="K186" s="40" t="n">
        <v>37.08</v>
      </c>
      <c r="L186" s="38" t="inlineStr">
        <is>
          <t>Need</t>
        </is>
      </c>
      <c r="M186" s="38" t="inlineStr">
        <is>
          <t>No</t>
        </is>
      </c>
      <c r="N186" s="38" t="inlineStr">
        <is>
          <t>Wiper blades / oil</t>
        </is>
      </c>
      <c r="O186" s="38" t="n"/>
      <c r="P186" s="40">
        <f>IF(AND($B186&gt;=CurMonthStart,$B186&lt;=CurMonthEnd),$K186,0)</f>
        <v/>
      </c>
    </row>
    <row r="187">
      <c r="A187" s="38">
        <f>ROW()-5</f>
        <v/>
      </c>
      <c r="B187" s="39" t="n">
        <v>46221</v>
      </c>
      <c r="C187" s="38" t="inlineStr">
        <is>
          <t>City Electric Co</t>
        </is>
      </c>
      <c r="D187" s="38">
        <f>IFERROR(INDEX(Dim_Vendor[VendorID],MATCH($C187,Dim_Vendor[VendorName],0)),"")</f>
        <v/>
      </c>
      <c r="E187" s="38" t="inlineStr">
        <is>
          <t>Utilities</t>
        </is>
      </c>
      <c r="F187" s="38">
        <f>IFERROR(INDEX(Dim_Category[CategoryID],MATCH($E187,Dim_Category[CategoryName],0)),"")</f>
        <v/>
      </c>
      <c r="G187" s="38" t="inlineStr">
        <is>
          <t>Checking</t>
        </is>
      </c>
      <c r="H187" s="38">
        <f>IFERROR(INDEX(Dim_Account[AccountID],MATCH($G187,Dim_Account[AccountName],0)),"")</f>
        <v/>
      </c>
      <c r="I187" s="38" t="inlineStr">
        <is>
          <t>ACH</t>
        </is>
      </c>
      <c r="J187" s="38">
        <f>IFERROR(INDEX(Dim_PaymentMethod[PaymentMethodID],MATCH($I187,Dim_PaymentMethod[MethodName],0)),"")</f>
        <v/>
      </c>
      <c r="K187" s="40" t="n">
        <v>122.84</v>
      </c>
      <c r="L187" s="38" t="inlineStr">
        <is>
          <t>Need</t>
        </is>
      </c>
      <c r="M187" s="38" t="inlineStr">
        <is>
          <t>Yes</t>
        </is>
      </c>
      <c r="N187" s="38" t="inlineStr"/>
      <c r="O187" s="38" t="n"/>
      <c r="P187" s="40">
        <f>IF(AND($B187&gt;=CurMonthStart,$B187&lt;=CurMonthEnd),$K187,0)</f>
        <v/>
      </c>
    </row>
    <row r="188">
      <c r="A188" s="38">
        <f>ROW()-5</f>
        <v/>
      </c>
      <c r="B188" s="39" t="n">
        <v>46224</v>
      </c>
      <c r="C188" s="38" t="inlineStr">
        <is>
          <t>Comcast Xfinity</t>
        </is>
      </c>
      <c r="D188" s="38">
        <f>IFERROR(INDEX(Dim_Vendor[VendorID],MATCH($C188,Dim_Vendor[VendorName],0)),"")</f>
        <v/>
      </c>
      <c r="E188" s="38" t="inlineStr">
        <is>
          <t>Utilities</t>
        </is>
      </c>
      <c r="F188" s="38">
        <f>IFERROR(INDEX(Dim_Category[CategoryID],MATCH($E188,Dim_Category[CategoryName],0)),"")</f>
        <v/>
      </c>
      <c r="G188" s="38" t="inlineStr">
        <is>
          <t>Checking</t>
        </is>
      </c>
      <c r="H188" s="38">
        <f>IFERROR(INDEX(Dim_Account[AccountID],MATCH($G188,Dim_Account[AccountName],0)),"")</f>
        <v/>
      </c>
      <c r="I188" s="38" t="inlineStr">
        <is>
          <t>ACH</t>
        </is>
      </c>
      <c r="J188" s="38">
        <f>IFERROR(INDEX(Dim_PaymentMethod[PaymentMethodID],MATCH($I188,Dim_PaymentMethod[MethodName],0)),"")</f>
        <v/>
      </c>
      <c r="K188" s="40" t="n">
        <v>74.5</v>
      </c>
      <c r="L188" s="38" t="inlineStr">
        <is>
          <t>Need</t>
        </is>
      </c>
      <c r="M188" s="38" t="inlineStr">
        <is>
          <t>Yes</t>
        </is>
      </c>
      <c r="N188" s="38" t="inlineStr">
        <is>
          <t>Internet</t>
        </is>
      </c>
      <c r="O188" s="38" t="n"/>
      <c r="P188" s="40">
        <f>IF(AND($B188&gt;=CurMonthStart,$B188&lt;=CurMonthEnd),$K188,0)</f>
        <v/>
      </c>
    </row>
    <row r="189">
      <c r="A189" s="38">
        <f>ROW()-5</f>
        <v/>
      </c>
      <c r="B189" s="39" t="n">
        <v>46227</v>
      </c>
      <c r="C189" s="38" t="inlineStr">
        <is>
          <t>Verizon Wireless</t>
        </is>
      </c>
      <c r="D189" s="38">
        <f>IFERROR(INDEX(Dim_Vendor[VendorID],MATCH($C189,Dim_Vendor[VendorName],0)),"")</f>
        <v/>
      </c>
      <c r="E189" s="38" t="inlineStr">
        <is>
          <t>Utilities</t>
        </is>
      </c>
      <c r="F189" s="38">
        <f>IFERROR(INDEX(Dim_Category[CategoryID],MATCH($E189,Dim_Category[CategoryName],0)),"")</f>
        <v/>
      </c>
      <c r="G189" s="38" t="inlineStr">
        <is>
          <t>Checking</t>
        </is>
      </c>
      <c r="H189" s="38">
        <f>IFERROR(INDEX(Dim_Account[AccountID],MATCH($G189,Dim_Account[AccountName],0)),"")</f>
        <v/>
      </c>
      <c r="I189" s="38" t="inlineStr">
        <is>
          <t>ACH</t>
        </is>
      </c>
      <c r="J189" s="38">
        <f>IFERROR(INDEX(Dim_PaymentMethod[PaymentMethodID],MATCH($I189,Dim_PaymentMethod[MethodName],0)),"")</f>
        <v/>
      </c>
      <c r="K189" s="40" t="n">
        <v>96.98999999999999</v>
      </c>
      <c r="L189" s="38" t="inlineStr">
        <is>
          <t>Need</t>
        </is>
      </c>
      <c r="M189" s="38" t="inlineStr">
        <is>
          <t>Yes</t>
        </is>
      </c>
      <c r="N189" s="38" t="inlineStr">
        <is>
          <t>Mobile phone</t>
        </is>
      </c>
      <c r="O189" s="38" t="n"/>
      <c r="P189" s="40">
        <f>IF(AND($B189&gt;=CurMonthStart,$B189&lt;=CurMonthEnd),$K189,0)</f>
        <v/>
      </c>
    </row>
    <row r="190">
      <c r="A190" s="38">
        <f>ROW()-5</f>
        <v/>
      </c>
      <c r="B190" s="39" t="n">
        <v>46230</v>
      </c>
      <c r="C190" s="38" t="inlineStr">
        <is>
          <t>State Farm Insurance</t>
        </is>
      </c>
      <c r="D190" s="38">
        <f>IFERROR(INDEX(Dim_Vendor[VendorID],MATCH($C190,Dim_Vendor[VendorName],0)),"")</f>
        <v/>
      </c>
      <c r="E190" s="38" t="inlineStr">
        <is>
          <t>Insurance</t>
        </is>
      </c>
      <c r="F190" s="38">
        <f>IFERROR(INDEX(Dim_Category[CategoryID],MATCH($E190,Dim_Category[CategoryName],0)),"")</f>
        <v/>
      </c>
      <c r="G190" s="38" t="inlineStr">
        <is>
          <t>Checking</t>
        </is>
      </c>
      <c r="H190" s="38">
        <f>IFERROR(INDEX(Dim_Account[AccountID],MATCH($G190,Dim_Account[AccountName],0)),"")</f>
        <v/>
      </c>
      <c r="I190" s="38" t="inlineStr">
        <is>
          <t>ACH</t>
        </is>
      </c>
      <c r="J190" s="38">
        <f>IFERROR(INDEX(Dim_PaymentMethod[PaymentMethodID],MATCH($I190,Dim_PaymentMethod[MethodName],0)),"")</f>
        <v/>
      </c>
      <c r="K190" s="40" t="n">
        <v>135.84</v>
      </c>
      <c r="L190" s="38" t="inlineStr">
        <is>
          <t>Need</t>
        </is>
      </c>
      <c r="M190" s="38" t="inlineStr">
        <is>
          <t>Yes</t>
        </is>
      </c>
      <c r="N190" s="38" t="inlineStr">
        <is>
          <t>Auto + home insurance</t>
        </is>
      </c>
      <c r="O190" s="38" t="n"/>
      <c r="P190" s="40">
        <f>IF(AND($B190&gt;=CurMonthStart,$B190&lt;=CurMonthEnd),$K190,0)</f>
        <v/>
      </c>
    </row>
    <row r="191">
      <c r="A191" s="38">
        <f>ROW()-5</f>
        <v/>
      </c>
      <c r="B191" s="39" t="n">
        <v>46206</v>
      </c>
      <c r="C191" s="38" t="inlineStr">
        <is>
          <t>Kaiser Permanente</t>
        </is>
      </c>
      <c r="D191" s="38">
        <f>IFERROR(INDEX(Dim_Vendor[VendorID],MATCH($C191,Dim_Vendor[VendorName],0)),"")</f>
        <v/>
      </c>
      <c r="E191" s="38" t="inlineStr">
        <is>
          <t>Healthcare</t>
        </is>
      </c>
      <c r="F191" s="38">
        <f>IFERROR(INDEX(Dim_Category[CategoryID],MATCH($E191,Dim_Category[CategoryName],0)),"")</f>
        <v/>
      </c>
      <c r="G191" s="38" t="inlineStr">
        <is>
          <t>Credit Card</t>
        </is>
      </c>
      <c r="H191" s="38">
        <f>IFERROR(INDEX(Dim_Account[AccountID],MATCH($G191,Dim_Account[AccountName],0)),"")</f>
        <v/>
      </c>
      <c r="I191" s="38" t="inlineStr">
        <is>
          <t>Credit Card</t>
        </is>
      </c>
      <c r="J191" s="38">
        <f>IFERROR(INDEX(Dim_PaymentMethod[PaymentMethodID],MATCH($I191,Dim_PaymentMethod[MethodName],0)),"")</f>
        <v/>
      </c>
      <c r="K191" s="40" t="n">
        <v>47.92</v>
      </c>
      <c r="L191" s="38" t="inlineStr">
        <is>
          <t>Need</t>
        </is>
      </c>
      <c r="M191" s="38" t="inlineStr">
        <is>
          <t>No</t>
        </is>
      </c>
      <c r="N191" s="38" t="inlineStr">
        <is>
          <t>Copay</t>
        </is>
      </c>
      <c r="O191" s="38" t="n"/>
      <c r="P191" s="40">
        <f>IF(AND($B191&gt;=CurMonthStart,$B191&lt;=CurMonthEnd),$K191,0)</f>
        <v/>
      </c>
    </row>
    <row r="192">
      <c r="A192" s="38">
        <f>ROW()-5</f>
        <v/>
      </c>
      <c r="B192" s="39" t="n">
        <v>46209</v>
      </c>
      <c r="C192" s="38" t="inlineStr">
        <is>
          <t>Chipotle</t>
        </is>
      </c>
      <c r="D192" s="38">
        <f>IFERROR(INDEX(Dim_Vendor[VendorID],MATCH($C192,Dim_Vendor[VendorName],0)),"")</f>
        <v/>
      </c>
      <c r="E192" s="38" t="inlineStr">
        <is>
          <t>Dining &amp; Entertainment</t>
        </is>
      </c>
      <c r="F192" s="38">
        <f>IFERROR(INDEX(Dim_Category[CategoryID],MATCH($E192,Dim_Category[CategoryName],0)),"")</f>
        <v/>
      </c>
      <c r="G192" s="38" t="inlineStr">
        <is>
          <t>Credit Card</t>
        </is>
      </c>
      <c r="H192" s="38">
        <f>IFERROR(INDEX(Dim_Account[AccountID],MATCH($G192,Dim_Account[AccountName],0)),"")</f>
        <v/>
      </c>
      <c r="I192" s="38" t="inlineStr">
        <is>
          <t>Credit Card</t>
        </is>
      </c>
      <c r="J192" s="38">
        <f>IFERROR(INDEX(Dim_PaymentMethod[PaymentMethodID],MATCH($I192,Dim_PaymentMethod[MethodName],0)),"")</f>
        <v/>
      </c>
      <c r="K192" s="40" t="n">
        <v>14.25</v>
      </c>
      <c r="L192" s="38" t="inlineStr">
        <is>
          <t>Want</t>
        </is>
      </c>
      <c r="M192" s="38" t="inlineStr">
        <is>
          <t>No</t>
        </is>
      </c>
      <c r="N192" s="38" t="inlineStr"/>
      <c r="O192" s="38" t="n"/>
      <c r="P192" s="40">
        <f>IF(AND($B192&gt;=CurMonthStart,$B192&lt;=CurMonthEnd),$K192,0)</f>
        <v/>
      </c>
    </row>
    <row r="193">
      <c r="A193" s="38">
        <f>ROW()-5</f>
        <v/>
      </c>
      <c r="B193" s="39" t="n">
        <v>46212</v>
      </c>
      <c r="C193" s="38" t="inlineStr">
        <is>
          <t>Netflix</t>
        </is>
      </c>
      <c r="D193" s="38">
        <f>IFERROR(INDEX(Dim_Vendor[VendorID],MATCH($C193,Dim_Vendor[VendorName],0)),"")</f>
        <v/>
      </c>
      <c r="E193" s="38" t="inlineStr">
        <is>
          <t>Dining &amp; Entertainment</t>
        </is>
      </c>
      <c r="F193" s="38">
        <f>IFERROR(INDEX(Dim_Category[CategoryID],MATCH($E193,Dim_Category[CategoryName],0)),"")</f>
        <v/>
      </c>
      <c r="G193" s="38" t="inlineStr">
        <is>
          <t>Credit Card</t>
        </is>
      </c>
      <c r="H193" s="38">
        <f>IFERROR(INDEX(Dim_Account[AccountID],MATCH($G193,Dim_Account[AccountName],0)),"")</f>
        <v/>
      </c>
      <c r="I193" s="38" t="inlineStr">
        <is>
          <t>Credit Card</t>
        </is>
      </c>
      <c r="J193" s="38">
        <f>IFERROR(INDEX(Dim_PaymentMethod[PaymentMethodID],MATCH($I193,Dim_PaymentMethod[MethodName],0)),"")</f>
        <v/>
      </c>
      <c r="K193" s="40" t="n">
        <v>15.49</v>
      </c>
      <c r="L193" s="38" t="inlineStr">
        <is>
          <t>Want</t>
        </is>
      </c>
      <c r="M193" s="38" t="inlineStr">
        <is>
          <t>Yes</t>
        </is>
      </c>
      <c r="N193" s="38" t="inlineStr">
        <is>
          <t>Streaming subscription</t>
        </is>
      </c>
      <c r="O193" s="38" t="n"/>
      <c r="P193" s="40">
        <f>IF(AND($B193&gt;=CurMonthStart,$B193&lt;=CurMonthEnd),$K193,0)</f>
        <v/>
      </c>
    </row>
    <row r="194">
      <c r="A194" s="38">
        <f>ROW()-5</f>
        <v/>
      </c>
      <c r="B194" s="39" t="n">
        <v>46215</v>
      </c>
      <c r="C194" s="38" t="inlineStr">
        <is>
          <t>AMC Theatres</t>
        </is>
      </c>
      <c r="D194" s="38">
        <f>IFERROR(INDEX(Dim_Vendor[VendorID],MATCH($C194,Dim_Vendor[VendorName],0)),"")</f>
        <v/>
      </c>
      <c r="E194" s="38" t="inlineStr">
        <is>
          <t>Dining &amp; Entertainment</t>
        </is>
      </c>
      <c r="F194" s="38">
        <f>IFERROR(INDEX(Dim_Category[CategoryID],MATCH($E194,Dim_Category[CategoryName],0)),"")</f>
        <v/>
      </c>
      <c r="G194" s="38" t="inlineStr">
        <is>
          <t>Credit Card</t>
        </is>
      </c>
      <c r="H194" s="38">
        <f>IFERROR(INDEX(Dim_Account[AccountID],MATCH($G194,Dim_Account[AccountName],0)),"")</f>
        <v/>
      </c>
      <c r="I194" s="38" t="inlineStr">
        <is>
          <t>Credit Card</t>
        </is>
      </c>
      <c r="J194" s="38">
        <f>IFERROR(INDEX(Dim_PaymentMethod[PaymentMethodID],MATCH($I194,Dim_PaymentMethod[MethodName],0)),"")</f>
        <v/>
      </c>
      <c r="K194" s="40" t="n">
        <v>33.84</v>
      </c>
      <c r="L194" s="38" t="inlineStr">
        <is>
          <t>Want</t>
        </is>
      </c>
      <c r="M194" s="38" t="inlineStr">
        <is>
          <t>No</t>
        </is>
      </c>
      <c r="N194" s="38" t="inlineStr"/>
      <c r="O194" s="38" t="n"/>
      <c r="P194" s="40">
        <f>IF(AND($B194&gt;=CurMonthStart,$B194&lt;=CurMonthEnd),$K194,0)</f>
        <v/>
      </c>
    </row>
    <row r="195">
      <c r="A195" s="38">
        <f>ROW()-5</f>
        <v/>
      </c>
      <c r="B195" s="39" t="n">
        <v>46218</v>
      </c>
      <c r="C195" s="38" t="inlineStr">
        <is>
          <t>Planet Fitness</t>
        </is>
      </c>
      <c r="D195" s="38">
        <f>IFERROR(INDEX(Dim_Vendor[VendorID],MATCH($C195,Dim_Vendor[VendorName],0)),"")</f>
        <v/>
      </c>
      <c r="E195" s="38" t="inlineStr">
        <is>
          <t>Personal Care</t>
        </is>
      </c>
      <c r="F195" s="38">
        <f>IFERROR(INDEX(Dim_Category[CategoryID],MATCH($E195,Dim_Category[CategoryName],0)),"")</f>
        <v/>
      </c>
      <c r="G195" s="38" t="inlineStr">
        <is>
          <t>Checking</t>
        </is>
      </c>
      <c r="H195" s="38">
        <f>IFERROR(INDEX(Dim_Account[AccountID],MATCH($G195,Dim_Account[AccountName],0)),"")</f>
        <v/>
      </c>
      <c r="I195" s="38" t="inlineStr">
        <is>
          <t>ACH</t>
        </is>
      </c>
      <c r="J195" s="38">
        <f>IFERROR(INDEX(Dim_PaymentMethod[PaymentMethodID],MATCH($I195,Dim_PaymentMethod[MethodName],0)),"")</f>
        <v/>
      </c>
      <c r="K195" s="40" t="n">
        <v>23.27</v>
      </c>
      <c r="L195" s="38" t="inlineStr">
        <is>
          <t>Want</t>
        </is>
      </c>
      <c r="M195" s="38" t="inlineStr">
        <is>
          <t>Yes</t>
        </is>
      </c>
      <c r="N195" s="38" t="inlineStr">
        <is>
          <t>Gym membership</t>
        </is>
      </c>
      <c r="O195" s="38" t="n"/>
      <c r="P195" s="40">
        <f>IF(AND($B195&gt;=CurMonthStart,$B195&lt;=CurMonthEnd),$K195,0)</f>
        <v/>
      </c>
    </row>
    <row r="196">
      <c r="A196" s="38">
        <f>ROW()-5</f>
        <v/>
      </c>
      <c r="B196" s="39" t="n">
        <v>46221</v>
      </c>
      <c r="C196" s="38" t="inlineStr">
        <is>
          <t>Amazon</t>
        </is>
      </c>
      <c r="D196" s="38">
        <f>IFERROR(INDEX(Dim_Vendor[VendorID],MATCH($C196,Dim_Vendor[VendorName],0)),"")</f>
        <v/>
      </c>
      <c r="E196" s="38" t="inlineStr">
        <is>
          <t>Shopping</t>
        </is>
      </c>
      <c r="F196" s="38">
        <f>IFERROR(INDEX(Dim_Category[CategoryID],MATCH($E196,Dim_Category[CategoryName],0)),"")</f>
        <v/>
      </c>
      <c r="G196" s="38" t="inlineStr">
        <is>
          <t>Credit Card</t>
        </is>
      </c>
      <c r="H196" s="38">
        <f>IFERROR(INDEX(Dim_Account[AccountID],MATCH($G196,Dim_Account[AccountName],0)),"")</f>
        <v/>
      </c>
      <c r="I196" s="38" t="inlineStr">
        <is>
          <t>Credit Card</t>
        </is>
      </c>
      <c r="J196" s="38">
        <f>IFERROR(INDEX(Dim_PaymentMethod[PaymentMethodID],MATCH($I196,Dim_PaymentMethod[MethodName],0)),"")</f>
        <v/>
      </c>
      <c r="K196" s="40" t="n">
        <v>65.59999999999999</v>
      </c>
      <c r="L196" s="38" t="inlineStr">
        <is>
          <t>Want</t>
        </is>
      </c>
      <c r="M196" s="38" t="inlineStr">
        <is>
          <t>No</t>
        </is>
      </c>
      <c r="N196" s="38" t="inlineStr"/>
      <c r="O196" s="38" t="n"/>
      <c r="P196" s="40">
        <f>IF(AND($B196&gt;=CurMonthStart,$B196&lt;=CurMonthEnd),$K196,0)</f>
        <v/>
      </c>
    </row>
    <row r="197">
      <c r="A197" s="38">
        <f>ROW()-5</f>
        <v/>
      </c>
      <c r="B197" s="39" t="n">
        <v>46224</v>
      </c>
      <c r="C197" s="38" t="inlineStr">
        <is>
          <t>Target</t>
        </is>
      </c>
      <c r="D197" s="38">
        <f>IFERROR(INDEX(Dim_Vendor[VendorID],MATCH($C197,Dim_Vendor[VendorName],0)),"")</f>
        <v/>
      </c>
      <c r="E197" s="38" t="inlineStr">
        <is>
          <t>Shopping</t>
        </is>
      </c>
      <c r="F197" s="38">
        <f>IFERROR(INDEX(Dim_Category[CategoryID],MATCH($E197,Dim_Category[CategoryName],0)),"")</f>
        <v/>
      </c>
      <c r="G197" s="38" t="inlineStr">
        <is>
          <t>Credit Card</t>
        </is>
      </c>
      <c r="H197" s="38">
        <f>IFERROR(INDEX(Dim_Account[AccountID],MATCH($G197,Dim_Account[AccountName],0)),"")</f>
        <v/>
      </c>
      <c r="I197" s="38" t="inlineStr">
        <is>
          <t>Credit Card</t>
        </is>
      </c>
      <c r="J197" s="38">
        <f>IFERROR(INDEX(Dim_PaymentMethod[PaymentMethodID],MATCH($I197,Dim_PaymentMethod[MethodName],0)),"")</f>
        <v/>
      </c>
      <c r="K197" s="40" t="n">
        <v>55.79</v>
      </c>
      <c r="L197" s="38" t="inlineStr">
        <is>
          <t>Want</t>
        </is>
      </c>
      <c r="M197" s="38" t="inlineStr">
        <is>
          <t>No</t>
        </is>
      </c>
      <c r="N197" s="38" t="inlineStr"/>
      <c r="O197" s="38" t="n"/>
      <c r="P197" s="40">
        <f>IF(AND($B197&gt;=CurMonthStart,$B197&lt;=CurMonthEnd),$K197,0)</f>
        <v/>
      </c>
    </row>
  </sheetData>
  <mergeCells count="2">
    <mergeCell ref="A1:P2"/>
    <mergeCell ref="A4:P4"/>
  </mergeCells>
  <conditionalFormatting sqref="K6:K197">
    <cfRule type="cellIs" priority="1" operator="greaterThan" dxfId="5">
      <formula>200</formula>
    </cfRule>
  </conditionalFormatting>
  <dataValidations count="6">
    <dataValidation sqref="C6:C497" showDropDown="0" showInputMessage="0" showErrorMessage="1" allowBlank="1" errorTitle="Invalid Entry" error="Please choose a value from the dropdown list." type="list">
      <formula1>VendorNameList</formula1>
    </dataValidation>
    <dataValidation sqref="E6:E497" showDropDown="0" showInputMessage="0" showErrorMessage="1" allowBlank="1" errorTitle="Invalid Entry" error="Please choose a value from the dropdown list." type="list">
      <formula1>ExpenseCategoryList</formula1>
    </dataValidation>
    <dataValidation sqref="G6:G497" showDropDown="0" showInputMessage="0" showErrorMessage="1" allowBlank="1" errorTitle="Invalid Entry" error="Please choose a value from the dropdown list." type="list">
      <formula1>AccountNameList</formula1>
    </dataValidation>
    <dataValidation sqref="I6:I497" showDropDown="0" showInputMessage="0" showErrorMessage="1" allowBlank="1" errorTitle="Invalid Entry" error="Please choose a value from the dropdown list." type="list">
      <formula1>PaymentMethodList</formula1>
    </dataValidation>
    <dataValidation sqref="L6:L497" showDropDown="0" showInputMessage="0" showErrorMessage="1" allowBlank="1" errorTitle="Invalid Entry" error="Please choose a value from the dropdown list." type="list">
      <formula1>List_NeedWant</formula1>
    </dataValidation>
    <dataValidation sqref="M6:M497" showDropDown="0" showInputMessage="0" showErrorMessage="1" allowBlank="1" errorTitle="Invalid Entry" error="Please choose a value from the dropdown list." type="list">
      <formula1>List_YesNo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hidden="1" width="9" customWidth="1" min="4" max="4"/>
    <col width="20" customWidth="1" min="5" max="5"/>
    <col hidden="1" width="10" customWidth="1" min="6" max="6"/>
    <col width="13" customWidth="1" min="7" max="7"/>
    <col width="13" customWidth="1" min="8" max="8"/>
    <col width="20" customWidth="1" min="9" max="9"/>
    <col width="20" customWidth="1" min="10" max="10"/>
    <col width="15" customWidth="1" min="11" max="11"/>
  </cols>
  <sheetData>
    <row r="1" ht="30" customHeight="1">
      <c r="A1" s="29" t="inlineStr">
        <is>
          <t>Savings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4" t="inlineStr">
        <is>
          <t>TOTAL SAVED (ALL GOALS)</t>
        </is>
      </c>
      <c r="B4" s="5" t="n"/>
      <c r="C4" s="6" t="n"/>
      <c r="D4" s="4" t="inlineStr">
        <is>
          <t>MONTHLY SAVINGS (THIS MONTH)</t>
        </is>
      </c>
      <c r="E4" s="5" t="n"/>
      <c r="F4" s="6" t="n"/>
      <c r="G4" s="4" t="inlineStr">
        <is>
          <t>SAVINGS RATE</t>
        </is>
      </c>
      <c r="H4" s="5" t="n"/>
      <c r="I4" s="6" t="n"/>
    </row>
    <row r="5">
      <c r="A5" s="11">
        <f>SUM(Dim_Goal[CurrentAmount])</f>
        <v/>
      </c>
      <c r="B5" s="8" t="n"/>
      <c r="C5" s="9" t="n"/>
      <c r="D5" s="11">
        <f>SUMIFS(Fact_SavingsTransfers[Amount],Fact_SavingsTransfers[Date],"&gt;="&amp;CurMonthStart,Fact_SavingsTransfers[Date],"&lt;="&amp;CurMonthEnd)</f>
        <v/>
      </c>
      <c r="E5" s="8" t="n"/>
      <c r="F5" s="9" t="n"/>
      <c r="G5" s="12">
        <f>IFERROR(SUMIFS(Fact_SavingsTransfers[Amount],Fact_SavingsTransfers[Date],"&gt;="&amp;CurMonthStart,Fact_SavingsTransfers[Date],"&lt;="&amp;CurMonthEnd)/SUMIFS(Fact_Income[NetAmount],Fact_Income[Date],"&gt;="&amp;CurMonthStart,Fact_Income[Date],"&lt;="&amp;CurMonthEnd),0)</f>
        <v/>
      </c>
      <c r="H5" s="8" t="n"/>
      <c r="I5" s="9" t="n"/>
    </row>
    <row r="6">
      <c r="A6" s="13" t="n"/>
      <c r="B6" s="14" t="n"/>
      <c r="C6" s="15" t="n"/>
      <c r="D6" s="13" t="n"/>
      <c r="E6" s="14" t="n"/>
      <c r="F6" s="15" t="n"/>
      <c r="G6" s="13" t="n"/>
      <c r="H6" s="14" t="n"/>
      <c r="I6" s="15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</row>
    <row r="9" ht="20" customHeight="1">
      <c r="A9" s="26" t="inlineStr">
        <is>
          <t>Savings Goals  —  set a target; log transfers below to track progress automatically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6" t="inlineStr">
        <is>
          <t>GoalID</t>
        </is>
      </c>
      <c r="B10" s="36" t="inlineStr">
        <is>
          <t>GoalName</t>
        </is>
      </c>
      <c r="C10" s="36" t="inlineStr">
        <is>
          <t>TargetAmount</t>
        </is>
      </c>
      <c r="D10" s="36" t="inlineStr">
        <is>
          <t>TargetDate</t>
        </is>
      </c>
      <c r="E10" s="36" t="inlineStr">
        <is>
          <t>Priority</t>
        </is>
      </c>
      <c r="F10" s="36" t="inlineStr">
        <is>
          <t>CurrentAmount</t>
        </is>
      </c>
      <c r="G10" s="36" t="inlineStr">
        <is>
          <t>Remaining</t>
        </is>
      </c>
      <c r="H10" s="36" t="inlineStr">
        <is>
          <t>Completion %</t>
        </is>
      </c>
      <c r="I10" s="36" t="inlineStr">
        <is>
          <t>Avg Monthly Contribution</t>
        </is>
      </c>
      <c r="J10" s="36" t="inlineStr">
        <is>
          <t>Projected Completion Date</t>
        </is>
      </c>
    </row>
    <row r="11">
      <c r="A11" s="38" t="n">
        <v>1</v>
      </c>
      <c r="B11" s="38" t="inlineStr">
        <is>
          <t>Emergency Fund</t>
        </is>
      </c>
      <c r="C11" s="40" t="n">
        <v>25000</v>
      </c>
      <c r="D11" s="39" t="n">
        <v>46387</v>
      </c>
      <c r="E11" s="38" t="inlineStr">
        <is>
          <t>High</t>
        </is>
      </c>
      <c r="F11" s="40">
        <f>SUMIFS(Fact_SavingsTransfers[Amount],Fact_SavingsTransfers[GoalName],$B11)</f>
        <v/>
      </c>
      <c r="G11" s="40">
        <f>MAX($C11-$F11,0)</f>
        <v/>
      </c>
      <c r="H11" s="41">
        <f>MIN($F11/$C11,1)</f>
        <v/>
      </c>
      <c r="I11" s="40">
        <f>IFERROR($F11/MAX(COUNTIFS(Fact_SavingsTransfers[GoalName],$B11),1),0)</f>
        <v/>
      </c>
      <c r="J11" s="39">
        <f>IF($I11&gt;0,TodayDate+($G11/$I11)*30,"N/A")</f>
        <v/>
      </c>
    </row>
    <row r="12">
      <c r="A12" s="38" t="n">
        <v>2</v>
      </c>
      <c r="B12" s="38" t="inlineStr">
        <is>
          <t>Vacation</t>
        </is>
      </c>
      <c r="C12" s="40" t="n">
        <v>6000</v>
      </c>
      <c r="D12" s="39" t="n">
        <v>46539</v>
      </c>
      <c r="E12" s="38" t="inlineStr">
        <is>
          <t>Medium</t>
        </is>
      </c>
      <c r="F12" s="40">
        <f>SUMIFS(Fact_SavingsTransfers[Amount],Fact_SavingsTransfers[GoalName],$B12)</f>
        <v/>
      </c>
      <c r="G12" s="40">
        <f>MAX($C12-$F12,0)</f>
        <v/>
      </c>
      <c r="H12" s="41">
        <f>MIN($F12/$C12,1)</f>
        <v/>
      </c>
      <c r="I12" s="40">
        <f>IFERROR($F12/MAX(COUNTIFS(Fact_SavingsTransfers[GoalName],$B12),1),0)</f>
        <v/>
      </c>
      <c r="J12" s="39">
        <f>IF($I12&gt;0,TodayDate+($G12/$I12)*30,"N/A")</f>
        <v/>
      </c>
    </row>
    <row r="13">
      <c r="A13" s="38" t="n">
        <v>3</v>
      </c>
      <c r="B13" s="38" t="inlineStr">
        <is>
          <t>New Car</t>
        </is>
      </c>
      <c r="C13" s="40" t="n">
        <v>12000</v>
      </c>
      <c r="D13" s="39" t="n">
        <v>46752</v>
      </c>
      <c r="E13" s="38" t="inlineStr">
        <is>
          <t>Medium</t>
        </is>
      </c>
      <c r="F13" s="40">
        <f>SUMIFS(Fact_SavingsTransfers[Amount],Fact_SavingsTransfers[GoalName],$B13)</f>
        <v/>
      </c>
      <c r="G13" s="40">
        <f>MAX($C13-$F13,0)</f>
        <v/>
      </c>
      <c r="H13" s="41">
        <f>MIN($F13/$C13,1)</f>
        <v/>
      </c>
      <c r="I13" s="40">
        <f>IFERROR($F13/MAX(COUNTIFS(Fact_SavingsTransfers[GoalName],$B13),1),0)</f>
        <v/>
      </c>
      <c r="J13" s="39">
        <f>IF($I13&gt;0,TodayDate+($G13/$I13)*30,"N/A")</f>
        <v/>
      </c>
    </row>
    <row r="16" ht="20" customHeight="1">
      <c r="A16" s="26" t="inlineStr">
        <is>
          <t>Fact_SavingsTransfers  —  log every deposit toward a goal</t>
        </is>
      </c>
      <c r="B16" s="2" t="n"/>
      <c r="C16" s="2" t="n"/>
      <c r="D16" s="2" t="n"/>
      <c r="E16" s="2" t="n"/>
      <c r="F16" s="2" t="n"/>
    </row>
    <row r="17">
      <c r="A17" s="36" t="inlineStr">
        <is>
          <t>TransferID</t>
        </is>
      </c>
      <c r="B17" s="36" t="inlineStr">
        <is>
          <t>Date</t>
        </is>
      </c>
      <c r="C17" s="36" t="inlineStr">
        <is>
          <t>GoalName</t>
        </is>
      </c>
      <c r="D17" s="36" t="inlineStr">
        <is>
          <t>GoalID</t>
        </is>
      </c>
      <c r="E17" s="36" t="inlineStr">
        <is>
          <t>AccountName</t>
        </is>
      </c>
      <c r="F17" s="36" t="inlineStr">
        <is>
          <t>AccountID</t>
        </is>
      </c>
      <c r="G17" s="36" t="inlineStr">
        <is>
          <t>Amount</t>
        </is>
      </c>
    </row>
    <row r="18">
      <c r="A18" s="38">
        <f>ROW()-17</f>
        <v/>
      </c>
      <c r="B18" s="39" t="n">
        <v>45872</v>
      </c>
      <c r="C18" s="38" t="inlineStr">
        <is>
          <t>Emergency Fund</t>
        </is>
      </c>
      <c r="D18" s="38">
        <f>IFERROR(INDEX(Dim_Goal[GoalID],MATCH($C18,Dim_Goal[GoalName],0)),"")</f>
        <v/>
      </c>
      <c r="E18" s="38" t="inlineStr">
        <is>
          <t>Savings</t>
        </is>
      </c>
      <c r="F18" s="38">
        <f>IFERROR(INDEX(Dim_Account[AccountID],MATCH($E18,Dim_Account[AccountName],0)),"")</f>
        <v/>
      </c>
      <c r="G18" s="40" t="n">
        <v>500</v>
      </c>
    </row>
    <row r="19">
      <c r="A19" s="38">
        <f>ROW()-17</f>
        <v/>
      </c>
      <c r="B19" s="39" t="n">
        <v>45903</v>
      </c>
      <c r="C19" s="38" t="inlineStr">
        <is>
          <t>Emergency Fund</t>
        </is>
      </c>
      <c r="D19" s="38">
        <f>IFERROR(INDEX(Dim_Goal[GoalID],MATCH($C19,Dim_Goal[GoalName],0)),"")</f>
        <v/>
      </c>
      <c r="E19" s="38" t="inlineStr">
        <is>
          <t>Savings</t>
        </is>
      </c>
      <c r="F19" s="38">
        <f>IFERROR(INDEX(Dim_Account[AccountID],MATCH($E19,Dim_Account[AccountName],0)),"")</f>
        <v/>
      </c>
      <c r="G19" s="40" t="n">
        <v>500</v>
      </c>
    </row>
    <row r="20">
      <c r="A20" s="38">
        <f>ROW()-17</f>
        <v/>
      </c>
      <c r="B20" s="39" t="n">
        <v>45917</v>
      </c>
      <c r="C20" s="38" t="inlineStr">
        <is>
          <t>Vacation</t>
        </is>
      </c>
      <c r="D20" s="38">
        <f>IFERROR(INDEX(Dim_Goal[GoalID],MATCH($C20,Dim_Goal[GoalName],0)),"")</f>
        <v/>
      </c>
      <c r="E20" s="38" t="inlineStr">
        <is>
          <t>Savings</t>
        </is>
      </c>
      <c r="F20" s="38">
        <f>IFERROR(INDEX(Dim_Account[AccountID],MATCH($E20,Dim_Account[AccountName],0)),"")</f>
        <v/>
      </c>
      <c r="G20" s="40" t="n">
        <v>150</v>
      </c>
    </row>
    <row r="21">
      <c r="A21" s="38">
        <f>ROW()-17</f>
        <v/>
      </c>
      <c r="B21" s="39" t="n">
        <v>45933</v>
      </c>
      <c r="C21" s="38" t="inlineStr">
        <is>
          <t>Emergency Fund</t>
        </is>
      </c>
      <c r="D21" s="38">
        <f>IFERROR(INDEX(Dim_Goal[GoalID],MATCH($C21,Dim_Goal[GoalName],0)),"")</f>
        <v/>
      </c>
      <c r="E21" s="38" t="inlineStr">
        <is>
          <t>Savings</t>
        </is>
      </c>
      <c r="F21" s="38">
        <f>IFERROR(INDEX(Dim_Account[AccountID],MATCH($E21,Dim_Account[AccountName],0)),"")</f>
        <v/>
      </c>
      <c r="G21" s="40" t="n">
        <v>500</v>
      </c>
    </row>
    <row r="22">
      <c r="A22" s="38">
        <f>ROW()-17</f>
        <v/>
      </c>
      <c r="B22" s="39" t="n">
        <v>45950</v>
      </c>
      <c r="C22" s="38" t="inlineStr">
        <is>
          <t>New Car</t>
        </is>
      </c>
      <c r="D22" s="38">
        <f>IFERROR(INDEX(Dim_Goal[GoalID],MATCH($C22,Dim_Goal[GoalName],0)),"")</f>
        <v/>
      </c>
      <c r="E22" s="38" t="inlineStr">
        <is>
          <t>Savings</t>
        </is>
      </c>
      <c r="F22" s="38">
        <f>IFERROR(INDEX(Dim_Account[AccountID],MATCH($E22,Dim_Account[AccountName],0)),"")</f>
        <v/>
      </c>
      <c r="G22" s="40" t="n">
        <v>200</v>
      </c>
    </row>
    <row r="23">
      <c r="A23" s="38">
        <f>ROW()-17</f>
        <v/>
      </c>
      <c r="B23" s="39" t="n">
        <v>45964</v>
      </c>
      <c r="C23" s="38" t="inlineStr">
        <is>
          <t>Emergency Fund</t>
        </is>
      </c>
      <c r="D23" s="38">
        <f>IFERROR(INDEX(Dim_Goal[GoalID],MATCH($C23,Dim_Goal[GoalName],0)),"")</f>
        <v/>
      </c>
      <c r="E23" s="38" t="inlineStr">
        <is>
          <t>Savings</t>
        </is>
      </c>
      <c r="F23" s="38">
        <f>IFERROR(INDEX(Dim_Account[AccountID],MATCH($E23,Dim_Account[AccountName],0)),"")</f>
        <v/>
      </c>
      <c r="G23" s="40" t="n">
        <v>500</v>
      </c>
    </row>
    <row r="24">
      <c r="A24" s="38">
        <f>ROW()-17</f>
        <v/>
      </c>
      <c r="B24" s="39" t="n">
        <v>45978</v>
      </c>
      <c r="C24" s="38" t="inlineStr">
        <is>
          <t>Vacation</t>
        </is>
      </c>
      <c r="D24" s="38">
        <f>IFERROR(INDEX(Dim_Goal[GoalID],MATCH($C24,Dim_Goal[GoalName],0)),"")</f>
        <v/>
      </c>
      <c r="E24" s="38" t="inlineStr">
        <is>
          <t>Savings</t>
        </is>
      </c>
      <c r="F24" s="38">
        <f>IFERROR(INDEX(Dim_Account[AccountID],MATCH($E24,Dim_Account[AccountName],0)),"")</f>
        <v/>
      </c>
      <c r="G24" s="40" t="n">
        <v>150</v>
      </c>
    </row>
    <row r="25">
      <c r="A25" s="38">
        <f>ROW()-17</f>
        <v/>
      </c>
      <c r="B25" s="39" t="n">
        <v>45994</v>
      </c>
      <c r="C25" s="38" t="inlineStr">
        <is>
          <t>Emergency Fund</t>
        </is>
      </c>
      <c r="D25" s="38">
        <f>IFERROR(INDEX(Dim_Goal[GoalID],MATCH($C25,Dim_Goal[GoalName],0)),"")</f>
        <v/>
      </c>
      <c r="E25" s="38" t="inlineStr">
        <is>
          <t>Savings</t>
        </is>
      </c>
      <c r="F25" s="38">
        <f>IFERROR(INDEX(Dim_Account[AccountID],MATCH($E25,Dim_Account[AccountName],0)),"")</f>
        <v/>
      </c>
      <c r="G25" s="40" t="n">
        <v>500</v>
      </c>
    </row>
    <row r="26">
      <c r="A26" s="38">
        <f>ROW()-17</f>
        <v/>
      </c>
      <c r="B26" s="39" t="n">
        <v>46025</v>
      </c>
      <c r="C26" s="38" t="inlineStr">
        <is>
          <t>Emergency Fund</t>
        </is>
      </c>
      <c r="D26" s="38">
        <f>IFERROR(INDEX(Dim_Goal[GoalID],MATCH($C26,Dim_Goal[GoalName],0)),"")</f>
        <v/>
      </c>
      <c r="E26" s="38" t="inlineStr">
        <is>
          <t>Savings</t>
        </is>
      </c>
      <c r="F26" s="38">
        <f>IFERROR(INDEX(Dim_Account[AccountID],MATCH($E26,Dim_Account[AccountName],0)),"")</f>
        <v/>
      </c>
      <c r="G26" s="40" t="n">
        <v>500</v>
      </c>
    </row>
    <row r="27">
      <c r="A27" s="38">
        <f>ROW()-17</f>
        <v/>
      </c>
      <c r="B27" s="39" t="n">
        <v>46039</v>
      </c>
      <c r="C27" s="38" t="inlineStr">
        <is>
          <t>Vacation</t>
        </is>
      </c>
      <c r="D27" s="38">
        <f>IFERROR(INDEX(Dim_Goal[GoalID],MATCH($C27,Dim_Goal[GoalName],0)),"")</f>
        <v/>
      </c>
      <c r="E27" s="38" t="inlineStr">
        <is>
          <t>Savings</t>
        </is>
      </c>
      <c r="F27" s="38">
        <f>IFERROR(INDEX(Dim_Account[AccountID],MATCH($E27,Dim_Account[AccountName],0)),"")</f>
        <v/>
      </c>
      <c r="G27" s="40" t="n">
        <v>150</v>
      </c>
    </row>
    <row r="28">
      <c r="A28" s="38">
        <f>ROW()-17</f>
        <v/>
      </c>
      <c r="B28" s="39" t="n">
        <v>46042</v>
      </c>
      <c r="C28" s="38" t="inlineStr">
        <is>
          <t>New Car</t>
        </is>
      </c>
      <c r="D28" s="38">
        <f>IFERROR(INDEX(Dim_Goal[GoalID],MATCH($C28,Dim_Goal[GoalName],0)),"")</f>
        <v/>
      </c>
      <c r="E28" s="38" t="inlineStr">
        <is>
          <t>Savings</t>
        </is>
      </c>
      <c r="F28" s="38">
        <f>IFERROR(INDEX(Dim_Account[AccountID],MATCH($E28,Dim_Account[AccountName],0)),"")</f>
        <v/>
      </c>
      <c r="G28" s="40" t="n">
        <v>200</v>
      </c>
    </row>
    <row r="29">
      <c r="A29" s="38">
        <f>ROW()-17</f>
        <v/>
      </c>
      <c r="B29" s="39" t="n">
        <v>46056</v>
      </c>
      <c r="C29" s="38" t="inlineStr">
        <is>
          <t>Emergency Fund</t>
        </is>
      </c>
      <c r="D29" s="38">
        <f>IFERROR(INDEX(Dim_Goal[GoalID],MATCH($C29,Dim_Goal[GoalName],0)),"")</f>
        <v/>
      </c>
      <c r="E29" s="38" t="inlineStr">
        <is>
          <t>Savings</t>
        </is>
      </c>
      <c r="F29" s="38">
        <f>IFERROR(INDEX(Dim_Account[AccountID],MATCH($E29,Dim_Account[AccountName],0)),"")</f>
        <v/>
      </c>
      <c r="G29" s="40" t="n">
        <v>500</v>
      </c>
    </row>
    <row r="30">
      <c r="A30" s="38">
        <f>ROW()-17</f>
        <v/>
      </c>
      <c r="B30" s="39" t="n">
        <v>46084</v>
      </c>
      <c r="C30" s="38" t="inlineStr">
        <is>
          <t>Emergency Fund</t>
        </is>
      </c>
      <c r="D30" s="38">
        <f>IFERROR(INDEX(Dim_Goal[GoalID],MATCH($C30,Dim_Goal[GoalName],0)),"")</f>
        <v/>
      </c>
      <c r="E30" s="38" t="inlineStr">
        <is>
          <t>Savings</t>
        </is>
      </c>
      <c r="F30" s="38">
        <f>IFERROR(INDEX(Dim_Account[AccountID],MATCH($E30,Dim_Account[AccountName],0)),"")</f>
        <v/>
      </c>
      <c r="G30" s="40" t="n">
        <v>500</v>
      </c>
    </row>
    <row r="31">
      <c r="A31" s="38">
        <f>ROW()-17</f>
        <v/>
      </c>
      <c r="B31" s="39" t="n">
        <v>46098</v>
      </c>
      <c r="C31" s="38" t="inlineStr">
        <is>
          <t>Vacation</t>
        </is>
      </c>
      <c r="D31" s="38">
        <f>IFERROR(INDEX(Dim_Goal[GoalID],MATCH($C31,Dim_Goal[GoalName],0)),"")</f>
        <v/>
      </c>
      <c r="E31" s="38" t="inlineStr">
        <is>
          <t>Savings</t>
        </is>
      </c>
      <c r="F31" s="38">
        <f>IFERROR(INDEX(Dim_Account[AccountID],MATCH($E31,Dim_Account[AccountName],0)),"")</f>
        <v/>
      </c>
      <c r="G31" s="40" t="n">
        <v>150</v>
      </c>
    </row>
    <row r="32">
      <c r="A32" s="38">
        <f>ROW()-17</f>
        <v/>
      </c>
      <c r="B32" s="39" t="n">
        <v>46115</v>
      </c>
      <c r="C32" s="38" t="inlineStr">
        <is>
          <t>Emergency Fund</t>
        </is>
      </c>
      <c r="D32" s="38">
        <f>IFERROR(INDEX(Dim_Goal[GoalID],MATCH($C32,Dim_Goal[GoalName],0)),"")</f>
        <v/>
      </c>
      <c r="E32" s="38" t="inlineStr">
        <is>
          <t>Savings</t>
        </is>
      </c>
      <c r="F32" s="38">
        <f>IFERROR(INDEX(Dim_Account[AccountID],MATCH($E32,Dim_Account[AccountName],0)),"")</f>
        <v/>
      </c>
      <c r="G32" s="40" t="n">
        <v>500</v>
      </c>
    </row>
    <row r="33">
      <c r="A33" s="38">
        <f>ROW()-17</f>
        <v/>
      </c>
      <c r="B33" s="39" t="n">
        <v>46132</v>
      </c>
      <c r="C33" s="38" t="inlineStr">
        <is>
          <t>New Car</t>
        </is>
      </c>
      <c r="D33" s="38">
        <f>IFERROR(INDEX(Dim_Goal[GoalID],MATCH($C33,Dim_Goal[GoalName],0)),"")</f>
        <v/>
      </c>
      <c r="E33" s="38" t="inlineStr">
        <is>
          <t>Savings</t>
        </is>
      </c>
      <c r="F33" s="38">
        <f>IFERROR(INDEX(Dim_Account[AccountID],MATCH($E33,Dim_Account[AccountName],0)),"")</f>
        <v/>
      </c>
      <c r="G33" s="40" t="n">
        <v>200</v>
      </c>
    </row>
    <row r="34">
      <c r="A34" s="38">
        <f>ROW()-17</f>
        <v/>
      </c>
      <c r="B34" s="39" t="n">
        <v>46145</v>
      </c>
      <c r="C34" s="38" t="inlineStr">
        <is>
          <t>Emergency Fund</t>
        </is>
      </c>
      <c r="D34" s="38">
        <f>IFERROR(INDEX(Dim_Goal[GoalID],MATCH($C34,Dim_Goal[GoalName],0)),"")</f>
        <v/>
      </c>
      <c r="E34" s="38" t="inlineStr">
        <is>
          <t>Savings</t>
        </is>
      </c>
      <c r="F34" s="38">
        <f>IFERROR(INDEX(Dim_Account[AccountID],MATCH($E34,Dim_Account[AccountName],0)),"")</f>
        <v/>
      </c>
      <c r="G34" s="40" t="n">
        <v>500</v>
      </c>
    </row>
    <row r="35">
      <c r="A35" s="38">
        <f>ROW()-17</f>
        <v/>
      </c>
      <c r="B35" s="39" t="n">
        <v>46159</v>
      </c>
      <c r="C35" s="38" t="inlineStr">
        <is>
          <t>Vacation</t>
        </is>
      </c>
      <c r="D35" s="38">
        <f>IFERROR(INDEX(Dim_Goal[GoalID],MATCH($C35,Dim_Goal[GoalName],0)),"")</f>
        <v/>
      </c>
      <c r="E35" s="38" t="inlineStr">
        <is>
          <t>Savings</t>
        </is>
      </c>
      <c r="F35" s="38">
        <f>IFERROR(INDEX(Dim_Account[AccountID],MATCH($E35,Dim_Account[AccountName],0)),"")</f>
        <v/>
      </c>
      <c r="G35" s="40" t="n">
        <v>150</v>
      </c>
    </row>
    <row r="36">
      <c r="A36" s="38">
        <f>ROW()-17</f>
        <v/>
      </c>
      <c r="B36" s="39" t="n">
        <v>46176</v>
      </c>
      <c r="C36" s="38" t="inlineStr">
        <is>
          <t>Emergency Fund</t>
        </is>
      </c>
      <c r="D36" s="38">
        <f>IFERROR(INDEX(Dim_Goal[GoalID],MATCH($C36,Dim_Goal[GoalName],0)),"")</f>
        <v/>
      </c>
      <c r="E36" s="38" t="inlineStr">
        <is>
          <t>Savings</t>
        </is>
      </c>
      <c r="F36" s="38">
        <f>IFERROR(INDEX(Dim_Account[AccountID],MATCH($E36,Dim_Account[AccountName],0)),"")</f>
        <v/>
      </c>
      <c r="G36" s="40" t="n">
        <v>500</v>
      </c>
    </row>
    <row r="37">
      <c r="A37" s="38">
        <f>ROW()-17</f>
        <v/>
      </c>
      <c r="B37" s="39" t="n">
        <v>46206</v>
      </c>
      <c r="C37" s="38" t="inlineStr">
        <is>
          <t>Emergency Fund</t>
        </is>
      </c>
      <c r="D37" s="38">
        <f>IFERROR(INDEX(Dim_Goal[GoalID],MATCH($C37,Dim_Goal[GoalName],0)),"")</f>
        <v/>
      </c>
      <c r="E37" s="38" t="inlineStr">
        <is>
          <t>Savings</t>
        </is>
      </c>
      <c r="F37" s="38">
        <f>IFERROR(INDEX(Dim_Account[AccountID],MATCH($E37,Dim_Account[AccountName],0)),"")</f>
        <v/>
      </c>
      <c r="G37" s="40" t="n">
        <v>500</v>
      </c>
    </row>
    <row r="38">
      <c r="A38" s="38">
        <f>ROW()-17</f>
        <v/>
      </c>
      <c r="B38" s="39" t="n">
        <v>46220</v>
      </c>
      <c r="C38" s="38" t="inlineStr">
        <is>
          <t>Vacation</t>
        </is>
      </c>
      <c r="D38" s="38">
        <f>IFERROR(INDEX(Dim_Goal[GoalID],MATCH($C38,Dim_Goal[GoalName],0)),"")</f>
        <v/>
      </c>
      <c r="E38" s="38" t="inlineStr">
        <is>
          <t>Savings</t>
        </is>
      </c>
      <c r="F38" s="38">
        <f>IFERROR(INDEX(Dim_Account[AccountID],MATCH($E38,Dim_Account[AccountName],0)),"")</f>
        <v/>
      </c>
      <c r="G38" s="40" t="n">
        <v>150</v>
      </c>
    </row>
    <row r="39">
      <c r="A39" s="38">
        <f>ROW()-17</f>
        <v/>
      </c>
      <c r="B39" s="39" t="n">
        <v>46223</v>
      </c>
      <c r="C39" s="38" t="inlineStr">
        <is>
          <t>New Car</t>
        </is>
      </c>
      <c r="D39" s="38">
        <f>IFERROR(INDEX(Dim_Goal[GoalID],MATCH($C39,Dim_Goal[GoalName],0)),"")</f>
        <v/>
      </c>
      <c r="E39" s="38" t="inlineStr">
        <is>
          <t>Savings</t>
        </is>
      </c>
      <c r="F39" s="38">
        <f>IFERROR(INDEX(Dim_Account[AccountID],MATCH($E39,Dim_Account[AccountName],0)),"")</f>
        <v/>
      </c>
      <c r="G39" s="40" t="n">
        <v>200</v>
      </c>
    </row>
  </sheetData>
  <mergeCells count="9">
    <mergeCell ref="A16:F16"/>
    <mergeCell ref="D5:F6"/>
    <mergeCell ref="A5:C6"/>
    <mergeCell ref="G5:I6"/>
    <mergeCell ref="D4:F4"/>
    <mergeCell ref="A9:J9"/>
    <mergeCell ref="G4:I4"/>
    <mergeCell ref="A4:C4"/>
    <mergeCell ref="A1:K2"/>
  </mergeCells>
  <conditionalFormatting sqref="H11:H13">
    <cfRule type="dataBar" priority="1">
      <dataBar>
        <cfvo type="num" val="0"/>
        <cfvo type="num" val="1"/>
        <color rgb="002563EB"/>
      </dataBar>
    </cfRule>
    <cfRule type="cellIs" priority="2" operator="greaterThanOrEqual" dxfId="6">
      <formula>1</formula>
    </cfRule>
  </conditionalFormatting>
  <dataValidations count="3">
    <dataValidation sqref="E11:E63" showDropDown="0" showInputMessage="0" showErrorMessage="1" allowBlank="1" errorTitle="Invalid Entry" error="Please choose a value from the dropdown list." type="list">
      <formula1>"High,Medium,Low"</formula1>
    </dataValidation>
    <dataValidation sqref="C18:C189" showDropDown="0" showInputMessage="0" showErrorMessage="1" allowBlank="1" errorTitle="Invalid Entry" error="Please choose a value from the dropdown list." type="list">
      <formula1>Dim_Goal[GoalName]</formula1>
    </dataValidation>
    <dataValidation sqref="E18:E189" showDropDown="0" showInputMessage="0" showErrorMessage="1" allowBlank="1" errorTitle="Invalid Entry" error="Please choose a value from the dropdown list." type="list">
      <formula1>AccountNameList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30" customHeight="1">
      <c r="A1" s="29" t="inlineStr">
        <is>
          <t>Budget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4" t="inlineStr">
        <is>
          <t>TOTAL MONTHLY BUDGET</t>
        </is>
      </c>
      <c r="B4" s="6" t="n"/>
      <c r="C4" s="4" t="inlineStr">
        <is>
          <t>TOTAL ACTUAL (THIS MONTH)</t>
        </is>
      </c>
      <c r="D4" s="6" t="n"/>
      <c r="E4" s="4" t="inlineStr">
        <is>
          <t>REMAINING</t>
        </is>
      </c>
      <c r="F4" s="6" t="n"/>
      <c r="G4" s="4" t="inlineStr">
        <is>
          <t>OVERALL UTILIZATION</t>
        </is>
      </c>
      <c r="H4" s="6" t="n"/>
    </row>
    <row r="5">
      <c r="A5" s="11">
        <f>SUM(Budget[MonthlyBudget])</f>
        <v/>
      </c>
      <c r="B5" s="9" t="n"/>
      <c r="C5" s="11">
        <f>SUM(Budget[Actual])</f>
        <v/>
      </c>
      <c r="D5" s="9" t="n"/>
      <c r="E5" s="11">
        <f>SUM(Budget[MonthlyBudget])-SUM(Budget[Actual])</f>
        <v/>
      </c>
      <c r="F5" s="9" t="n"/>
      <c r="G5" s="12">
        <f>SUM(Budget[Actual])/SUM(Budget[MonthlyBudget])</f>
        <v/>
      </c>
      <c r="H5" s="9" t="n"/>
    </row>
    <row r="6">
      <c r="A6" s="13" t="n"/>
      <c r="B6" s="15" t="n"/>
      <c r="C6" s="13" t="n"/>
      <c r="D6" s="15" t="n"/>
      <c r="E6" s="13" t="n"/>
      <c r="F6" s="15" t="n"/>
      <c r="G6" s="13" t="n"/>
      <c r="H6" s="15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9" ht="20" customHeight="1">
      <c r="A9" s="26" t="inlineStr">
        <is>
          <t>Category Budgets  —  set MonthlyBudget per category; Actual pulls live from Expenses + Bank Import this month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36" t="inlineStr">
        <is>
          <t>CategoryName</t>
        </is>
      </c>
      <c r="B10" s="36" t="inlineStr">
        <is>
          <t>MonthlyBudget</t>
        </is>
      </c>
      <c r="C10" s="36" t="inlineStr">
        <is>
          <t>Actual</t>
        </is>
      </c>
      <c r="D10" s="36" t="inlineStr">
        <is>
          <t>Remaining</t>
        </is>
      </c>
      <c r="E10" s="36" t="inlineStr">
        <is>
          <t>Variance %</t>
        </is>
      </c>
      <c r="F10" s="36" t="inlineStr">
        <is>
          <t>Status</t>
        </is>
      </c>
      <c r="G10" s="36" t="inlineStr">
        <is>
          <t>Progress</t>
        </is>
      </c>
    </row>
    <row r="11">
      <c r="A11" s="38" t="inlineStr">
        <is>
          <t>Mortgage</t>
        </is>
      </c>
      <c r="B11" s="42" t="n">
        <v>2200</v>
      </c>
      <c r="C11" s="40">
        <f>SUMIFS(Fact_Expenses[Amount],Fact_Expenses[CategoryName],$A11,Fact_Expenses[Date],"&gt;="&amp;CurMonthStart,Fact_Expenses[Date],"&lt;="&amp;CurMonthEnd)+SUMIFS(BankImportRaw[AbsAmount],BankImportRaw[CategoryName],$A11,BankImportRaw[TransactionType],"Expense",BankImportRaw[Date],"&gt;="&amp;CurMonthStart,BankImportRaw[Date],"&lt;="&amp;CurMonthEnd)</f>
        <v/>
      </c>
      <c r="D11" s="40">
        <f>$B11-$C11</f>
        <v/>
      </c>
      <c r="E11" s="41">
        <f>IFERROR($C11/$B11-1,0)</f>
        <v/>
      </c>
      <c r="F11" s="38">
        <f>_xlfn.IFS($C11/$B11&gt;1,"Over Budget",$C11/$B11&gt;=0.8,"Near Limit",TRUE,"Under Budget")</f>
        <v/>
      </c>
      <c r="G11" s="41">
        <f>MIN($C11/$B11,1.5)</f>
        <v/>
      </c>
    </row>
    <row r="12">
      <c r="A12" s="38" t="inlineStr">
        <is>
          <t>Utilities</t>
        </is>
      </c>
      <c r="B12" s="42" t="n">
        <v>320</v>
      </c>
      <c r="C12" s="40">
        <f>SUMIFS(Fact_Expenses[Amount],Fact_Expenses[CategoryName],$A12,Fact_Expenses[Date],"&gt;="&amp;CurMonthStart,Fact_Expenses[Date],"&lt;="&amp;CurMonthEnd)+SUMIFS(BankImportRaw[AbsAmount],BankImportRaw[CategoryName],$A12,BankImportRaw[TransactionType],"Expense",BankImportRaw[Date],"&gt;="&amp;CurMonthStart,BankImportRaw[Date],"&lt;="&amp;CurMonthEnd)</f>
        <v/>
      </c>
      <c r="D12" s="40">
        <f>$B12-$C12</f>
        <v/>
      </c>
      <c r="E12" s="41">
        <f>IFERROR($C12/$B12-1,0)</f>
        <v/>
      </c>
      <c r="F12" s="38">
        <f>_xlfn.IFS($C12/$B12&gt;1,"Over Budget",$C12/$B12&gt;=0.8,"Near Limit",TRUE,"Under Budget")</f>
        <v/>
      </c>
      <c r="G12" s="41">
        <f>MIN($C12/$B12,1.5)</f>
        <v/>
      </c>
    </row>
    <row r="13">
      <c r="A13" s="38" t="inlineStr">
        <is>
          <t>Car</t>
        </is>
      </c>
      <c r="B13" s="42" t="n">
        <v>250</v>
      </c>
      <c r="C13" s="40">
        <f>SUMIFS(Fact_Expenses[Amount],Fact_Expenses[CategoryName],$A13,Fact_Expenses[Date],"&gt;="&amp;CurMonthStart,Fact_Expenses[Date],"&lt;="&amp;CurMonthEnd)+SUMIFS(BankImportRaw[AbsAmount],BankImportRaw[CategoryName],$A13,BankImportRaw[TransactionType],"Expense",BankImportRaw[Date],"&gt;="&amp;CurMonthStart,BankImportRaw[Date],"&lt;="&amp;CurMonthEnd)</f>
        <v/>
      </c>
      <c r="D13" s="40">
        <f>$B13-$C13</f>
        <v/>
      </c>
      <c r="E13" s="41">
        <f>IFERROR($C13/$B13-1,0)</f>
        <v/>
      </c>
      <c r="F13" s="38">
        <f>_xlfn.IFS($C13/$B13&gt;1,"Over Budget",$C13/$B13&gt;=0.8,"Near Limit",TRUE,"Under Budget")</f>
        <v/>
      </c>
      <c r="G13" s="41">
        <f>MIN($C13/$B13,1.5)</f>
        <v/>
      </c>
    </row>
    <row r="14">
      <c r="A14" s="38" t="inlineStr">
        <is>
          <t>Groceries</t>
        </is>
      </c>
      <c r="B14" s="42" t="n">
        <v>650</v>
      </c>
      <c r="C14" s="40">
        <f>SUMIFS(Fact_Expenses[Amount],Fact_Expenses[CategoryName],$A14,Fact_Expenses[Date],"&gt;="&amp;CurMonthStart,Fact_Expenses[Date],"&lt;="&amp;CurMonthEnd)+SUMIFS(BankImportRaw[AbsAmount],BankImportRaw[CategoryName],$A14,BankImportRaw[TransactionType],"Expense",BankImportRaw[Date],"&gt;="&amp;CurMonthStart,BankImportRaw[Date],"&lt;="&amp;CurMonthEnd)</f>
        <v/>
      </c>
      <c r="D14" s="40">
        <f>$B14-$C14</f>
        <v/>
      </c>
      <c r="E14" s="41">
        <f>IFERROR($C14/$B14-1,0)</f>
        <v/>
      </c>
      <c r="F14" s="38">
        <f>_xlfn.IFS($C14/$B14&gt;1,"Over Budget",$C14/$B14&gt;=0.8,"Near Limit",TRUE,"Under Budget")</f>
        <v/>
      </c>
      <c r="G14" s="41">
        <f>MIN($C14/$B14,1.5)</f>
        <v/>
      </c>
    </row>
    <row r="15">
      <c r="A15" s="38" t="inlineStr">
        <is>
          <t>Insurance</t>
        </is>
      </c>
      <c r="B15" s="42" t="n">
        <v>300</v>
      </c>
      <c r="C15" s="40">
        <f>SUMIFS(Fact_Expenses[Amount],Fact_Expenses[CategoryName],$A15,Fact_Expenses[Date],"&gt;="&amp;CurMonthStart,Fact_Expenses[Date],"&lt;="&amp;CurMonthEnd)+SUMIFS(BankImportRaw[AbsAmount],BankImportRaw[CategoryName],$A15,BankImportRaw[TransactionType],"Expense",BankImportRaw[Date],"&gt;="&amp;CurMonthStart,BankImportRaw[Date],"&lt;="&amp;CurMonthEnd)</f>
        <v/>
      </c>
      <c r="D15" s="40">
        <f>$B15-$C15</f>
        <v/>
      </c>
      <c r="E15" s="41">
        <f>IFERROR($C15/$B15-1,0)</f>
        <v/>
      </c>
      <c r="F15" s="38">
        <f>_xlfn.IFS($C15/$B15&gt;1,"Over Budget",$C15/$B15&gt;=0.8,"Near Limit",TRUE,"Under Budget")</f>
        <v/>
      </c>
      <c r="G15" s="41">
        <f>MIN($C15/$B15,1.5)</f>
        <v/>
      </c>
    </row>
    <row r="16">
      <c r="A16" s="38" t="inlineStr">
        <is>
          <t>Healthcare</t>
        </is>
      </c>
      <c r="B16" s="42" t="n">
        <v>150</v>
      </c>
      <c r="C16" s="40">
        <f>SUMIFS(Fact_Expenses[Amount],Fact_Expenses[CategoryName],$A16,Fact_Expenses[Date],"&gt;="&amp;CurMonthStart,Fact_Expenses[Date],"&lt;="&amp;CurMonthEnd)+SUMIFS(BankImportRaw[AbsAmount],BankImportRaw[CategoryName],$A16,BankImportRaw[TransactionType],"Expense",BankImportRaw[Date],"&gt;="&amp;CurMonthStart,BankImportRaw[Date],"&lt;="&amp;CurMonthEnd)</f>
        <v/>
      </c>
      <c r="D16" s="40">
        <f>$B16-$C16</f>
        <v/>
      </c>
      <c r="E16" s="41">
        <f>IFERROR($C16/$B16-1,0)</f>
        <v/>
      </c>
      <c r="F16" s="38">
        <f>_xlfn.IFS($C16/$B16&gt;1,"Over Budget",$C16/$B16&gt;=0.8,"Near Limit",TRUE,"Under Budget")</f>
        <v/>
      </c>
      <c r="G16" s="41">
        <f>MIN($C16/$B16,1.5)</f>
        <v/>
      </c>
    </row>
    <row r="17">
      <c r="A17" s="38" t="inlineStr">
        <is>
          <t>Dining &amp; Entertainment</t>
        </is>
      </c>
      <c r="B17" s="42" t="n">
        <v>200</v>
      </c>
      <c r="C17" s="40">
        <f>SUMIFS(Fact_Expenses[Amount],Fact_Expenses[CategoryName],$A17,Fact_Expenses[Date],"&gt;="&amp;CurMonthStart,Fact_Expenses[Date],"&lt;="&amp;CurMonthEnd)+SUMIFS(BankImportRaw[AbsAmount],BankImportRaw[CategoryName],$A17,BankImportRaw[TransactionType],"Expense",BankImportRaw[Date],"&gt;="&amp;CurMonthStart,BankImportRaw[Date],"&lt;="&amp;CurMonthEnd)</f>
        <v/>
      </c>
      <c r="D17" s="40">
        <f>$B17-$C17</f>
        <v/>
      </c>
      <c r="E17" s="41">
        <f>IFERROR($C17/$B17-1,0)</f>
        <v/>
      </c>
      <c r="F17" s="38">
        <f>_xlfn.IFS($C17/$B17&gt;1,"Over Budget",$C17/$B17&gt;=0.8,"Near Limit",TRUE,"Under Budget")</f>
        <v/>
      </c>
      <c r="G17" s="41">
        <f>MIN($C17/$B17,1.5)</f>
        <v/>
      </c>
    </row>
    <row r="18">
      <c r="A18" s="38" t="inlineStr">
        <is>
          <t>Personal Care</t>
        </is>
      </c>
      <c r="B18" s="42" t="n">
        <v>80</v>
      </c>
      <c r="C18" s="40">
        <f>SUMIFS(Fact_Expenses[Amount],Fact_Expenses[CategoryName],$A18,Fact_Expenses[Date],"&gt;="&amp;CurMonthStart,Fact_Expenses[Date],"&lt;="&amp;CurMonthEnd)+SUMIFS(BankImportRaw[AbsAmount],BankImportRaw[CategoryName],$A18,BankImportRaw[TransactionType],"Expense",BankImportRaw[Date],"&gt;="&amp;CurMonthStart,BankImportRaw[Date],"&lt;="&amp;CurMonthEnd)</f>
        <v/>
      </c>
      <c r="D18" s="40">
        <f>$B18-$C18</f>
        <v/>
      </c>
      <c r="E18" s="41">
        <f>IFERROR($C18/$B18-1,0)</f>
        <v/>
      </c>
      <c r="F18" s="38">
        <f>_xlfn.IFS($C18/$B18&gt;1,"Over Budget",$C18/$B18&gt;=0.8,"Near Limit",TRUE,"Under Budget")</f>
        <v/>
      </c>
      <c r="G18" s="41">
        <f>MIN($C18/$B18,1.5)</f>
        <v/>
      </c>
    </row>
    <row r="19">
      <c r="A19" s="38" t="inlineStr">
        <is>
          <t>Shopping</t>
        </is>
      </c>
      <c r="B19" s="42" t="n">
        <v>200</v>
      </c>
      <c r="C19" s="40">
        <f>SUMIFS(Fact_Expenses[Amount],Fact_Expenses[CategoryName],$A19,Fact_Expenses[Date],"&gt;="&amp;CurMonthStart,Fact_Expenses[Date],"&lt;="&amp;CurMonthEnd)+SUMIFS(BankImportRaw[AbsAmount],BankImportRaw[CategoryName],$A19,BankImportRaw[TransactionType],"Expense",BankImportRaw[Date],"&gt;="&amp;CurMonthStart,BankImportRaw[Date],"&lt;="&amp;CurMonthEnd)</f>
        <v/>
      </c>
      <c r="D19" s="40">
        <f>$B19-$C19</f>
        <v/>
      </c>
      <c r="E19" s="41">
        <f>IFERROR($C19/$B19-1,0)</f>
        <v/>
      </c>
      <c r="F19" s="38">
        <f>_xlfn.IFS($C19/$B19&gt;1,"Over Budget",$C19/$B19&gt;=0.8,"Near Limit",TRUE,"Under Budget")</f>
        <v/>
      </c>
      <c r="G19" s="41">
        <f>MIN($C19/$B19,1.5)</f>
        <v/>
      </c>
    </row>
    <row r="20">
      <c r="A20" s="38" t="inlineStr">
        <is>
          <t>Miscellaneous</t>
        </is>
      </c>
      <c r="B20" s="42" t="n">
        <v>100</v>
      </c>
      <c r="C20" s="40">
        <f>SUMIFS(Fact_Expenses[Amount],Fact_Expenses[CategoryName],$A20,Fact_Expenses[Date],"&gt;="&amp;CurMonthStart,Fact_Expenses[Date],"&lt;="&amp;CurMonthEnd)+SUMIFS(BankImportRaw[AbsAmount],BankImportRaw[CategoryName],$A20,BankImportRaw[TransactionType],"Expense",BankImportRaw[Date],"&gt;="&amp;CurMonthStart,BankImportRaw[Date],"&lt;="&amp;CurMonthEnd)</f>
        <v/>
      </c>
      <c r="D20" s="40">
        <f>$B20-$C20</f>
        <v/>
      </c>
      <c r="E20" s="41">
        <f>IFERROR($C20/$B20-1,0)</f>
        <v/>
      </c>
      <c r="F20" s="38">
        <f>_xlfn.IFS($C20/$B20&gt;1,"Over Budget",$C20/$B20&gt;=0.8,"Near Limit",TRUE,"Under Budget")</f>
        <v/>
      </c>
      <c r="G20" s="41">
        <f>MIN($C20/$B20,1.5)</f>
        <v/>
      </c>
    </row>
  </sheetData>
  <mergeCells count="10">
    <mergeCell ref="A4:B4"/>
    <mergeCell ref="G4:H4"/>
    <mergeCell ref="E4:F4"/>
    <mergeCell ref="A9:H9"/>
    <mergeCell ref="C5:D6"/>
    <mergeCell ref="A1:I2"/>
    <mergeCell ref="A5:B6"/>
    <mergeCell ref="E5:F6"/>
    <mergeCell ref="G5:H6"/>
    <mergeCell ref="C4:D4"/>
  </mergeCells>
  <conditionalFormatting sqref="F11:F20">
    <cfRule type="cellIs" priority="1" operator="equal" dxfId="0">
      <formula>"Over Budget"</formula>
    </cfRule>
    <cfRule type="cellIs" priority="2" operator="equal" dxfId="7">
      <formula>"Near Limit"</formula>
    </cfRule>
    <cfRule type="cellIs" priority="3" operator="equal" dxfId="8">
      <formula>"Under Budget"</formula>
    </cfRule>
  </conditionalFormatting>
  <conditionalFormatting sqref="G11:G20">
    <cfRule type="dataBar" priority="4">
      <dataBar>
        <cfvo type="num" val="0"/>
        <cfvo type="num" val="1.5"/>
        <color rgb="002563E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6B7280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</cols>
  <sheetData>
    <row r="1" ht="30" customHeight="1">
      <c r="A1" s="29" t="inlineStr">
        <is>
          <t>Categories</t>
        </is>
      </c>
      <c r="B1" s="2" t="n"/>
      <c r="C1" s="2" t="n"/>
      <c r="D1" s="2" t="n"/>
      <c r="E1" s="2" t="n"/>
      <c r="F1" s="2" t="n"/>
    </row>
    <row r="2" ht="10" customHeight="1">
      <c r="A2" s="2" t="n"/>
      <c r="B2" s="2" t="n"/>
      <c r="C2" s="2" t="n"/>
      <c r="D2" s="2" t="n"/>
      <c r="E2" s="2" t="n"/>
      <c r="F2" s="2" t="n"/>
    </row>
    <row r="4" ht="20" customHeight="1">
      <c r="A4" s="26" t="inlineStr">
        <is>
          <t>Dim_Category  —  add a row here to make a new category available everywhere</t>
        </is>
      </c>
      <c r="B4" s="2" t="n"/>
      <c r="C4" s="2" t="n"/>
      <c r="D4" s="2" t="n"/>
    </row>
    <row r="5">
      <c r="A5" s="36" t="inlineStr">
        <is>
          <t>CategoryID</t>
        </is>
      </c>
      <c r="B5" s="36" t="inlineStr">
        <is>
          <t>CategoryName</t>
        </is>
      </c>
      <c r="C5" s="36" t="inlineStr">
        <is>
          <t>CategoryType</t>
        </is>
      </c>
      <c r="D5" s="36" t="inlineStr">
        <is>
          <t>EssentialCategory</t>
        </is>
      </c>
    </row>
    <row r="6">
      <c r="A6" s="38" t="n">
        <v>1</v>
      </c>
      <c r="B6" s="38" t="inlineStr">
        <is>
          <t>Mortgage</t>
        </is>
      </c>
      <c r="C6" s="38" t="inlineStr">
        <is>
          <t>Expense</t>
        </is>
      </c>
      <c r="D6" s="38" t="inlineStr">
        <is>
          <t>Yes</t>
        </is>
      </c>
    </row>
    <row r="7">
      <c r="A7" s="38" t="n">
        <v>2</v>
      </c>
      <c r="B7" s="38" t="inlineStr">
        <is>
          <t>Utilities</t>
        </is>
      </c>
      <c r="C7" s="38" t="inlineStr">
        <is>
          <t>Expense</t>
        </is>
      </c>
      <c r="D7" s="38" t="inlineStr">
        <is>
          <t>Yes</t>
        </is>
      </c>
    </row>
    <row r="8">
      <c r="A8" s="38" t="n">
        <v>3</v>
      </c>
      <c r="B8" s="38" t="inlineStr">
        <is>
          <t>Car</t>
        </is>
      </c>
      <c r="C8" s="38" t="inlineStr">
        <is>
          <t>Expense</t>
        </is>
      </c>
      <c r="D8" s="38" t="inlineStr">
        <is>
          <t>Yes</t>
        </is>
      </c>
    </row>
    <row r="9">
      <c r="A9" s="38" t="n">
        <v>4</v>
      </c>
      <c r="B9" s="38" t="inlineStr">
        <is>
          <t>Groceries</t>
        </is>
      </c>
      <c r="C9" s="38" t="inlineStr">
        <is>
          <t>Expense</t>
        </is>
      </c>
      <c r="D9" s="38" t="inlineStr">
        <is>
          <t>Yes</t>
        </is>
      </c>
    </row>
    <row r="10">
      <c r="A10" s="38" t="n">
        <v>5</v>
      </c>
      <c r="B10" s="38" t="inlineStr">
        <is>
          <t>Insurance</t>
        </is>
      </c>
      <c r="C10" s="38" t="inlineStr">
        <is>
          <t>Expense</t>
        </is>
      </c>
      <c r="D10" s="38" t="inlineStr">
        <is>
          <t>Yes</t>
        </is>
      </c>
    </row>
    <row r="11">
      <c r="A11" s="38" t="n">
        <v>6</v>
      </c>
      <c r="B11" s="38" t="inlineStr">
        <is>
          <t>Healthcare</t>
        </is>
      </c>
      <c r="C11" s="38" t="inlineStr">
        <is>
          <t>Expense</t>
        </is>
      </c>
      <c r="D11" s="38" t="inlineStr">
        <is>
          <t>Yes</t>
        </is>
      </c>
    </row>
    <row r="12">
      <c r="A12" s="38" t="n">
        <v>7</v>
      </c>
      <c r="B12" s="38" t="inlineStr">
        <is>
          <t>Dining &amp; Entertainment</t>
        </is>
      </c>
      <c r="C12" s="38" t="inlineStr">
        <is>
          <t>Expense</t>
        </is>
      </c>
      <c r="D12" s="38" t="inlineStr">
        <is>
          <t>No</t>
        </is>
      </c>
    </row>
    <row r="13">
      <c r="A13" s="38" t="n">
        <v>8</v>
      </c>
      <c r="B13" s="38" t="inlineStr">
        <is>
          <t>Personal Care</t>
        </is>
      </c>
      <c r="C13" s="38" t="inlineStr">
        <is>
          <t>Expense</t>
        </is>
      </c>
      <c r="D13" s="38" t="inlineStr">
        <is>
          <t>No</t>
        </is>
      </c>
    </row>
    <row r="14">
      <c r="A14" s="38" t="n">
        <v>9</v>
      </c>
      <c r="B14" s="38" t="inlineStr">
        <is>
          <t>Shopping</t>
        </is>
      </c>
      <c r="C14" s="38" t="inlineStr">
        <is>
          <t>Expense</t>
        </is>
      </c>
      <c r="D14" s="38" t="inlineStr">
        <is>
          <t>No</t>
        </is>
      </c>
    </row>
    <row r="15">
      <c r="A15" s="38" t="n">
        <v>10</v>
      </c>
      <c r="B15" s="38" t="inlineStr">
        <is>
          <t>Miscellaneous</t>
        </is>
      </c>
      <c r="C15" s="38" t="inlineStr">
        <is>
          <t>Expense</t>
        </is>
      </c>
      <c r="D15" s="38" t="inlineStr">
        <is>
          <t>No</t>
        </is>
      </c>
    </row>
    <row r="16">
      <c r="A16" s="38" t="n">
        <v>11</v>
      </c>
      <c r="B16" s="38" t="inlineStr">
        <is>
          <t>Payroll</t>
        </is>
      </c>
      <c r="C16" s="38" t="inlineStr">
        <is>
          <t>Income</t>
        </is>
      </c>
      <c r="D16" s="38" t="inlineStr">
        <is>
          <t>No</t>
        </is>
      </c>
    </row>
    <row r="17">
      <c r="A17" s="38" t="n">
        <v>12</v>
      </c>
      <c r="B17" s="38" t="inlineStr">
        <is>
          <t>Other Income</t>
        </is>
      </c>
      <c r="C17" s="38" t="inlineStr">
        <is>
          <t>Income</t>
        </is>
      </c>
      <c r="D17" s="38" t="inlineStr">
        <is>
          <t>No</t>
        </is>
      </c>
    </row>
  </sheetData>
  <mergeCells count="2">
    <mergeCell ref="A4:D4"/>
    <mergeCell ref="A1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6B7280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hidden="1" width="18" customWidth="1" min="3" max="3"/>
    <col width="15" customWidth="1" min="4" max="4"/>
    <col width="13" customWidth="1" min="5" max="5"/>
  </cols>
  <sheetData>
    <row r="1" ht="30" customHeight="1">
      <c r="A1" s="29" t="inlineStr">
        <is>
          <t>Vendors</t>
        </is>
      </c>
      <c r="B1" s="2" t="n"/>
      <c r="C1" s="2" t="n"/>
      <c r="D1" s="2" t="n"/>
      <c r="E1" s="2" t="n"/>
      <c r="F1" s="2" t="n"/>
    </row>
    <row r="2" ht="10" customHeight="1">
      <c r="A2" s="2" t="n"/>
      <c r="B2" s="2" t="n"/>
      <c r="C2" s="2" t="n"/>
      <c r="D2" s="2" t="n"/>
      <c r="E2" s="2" t="n"/>
      <c r="F2" s="2" t="n"/>
    </row>
    <row r="4" ht="20" customHeight="1">
      <c r="A4" s="26" t="inlineStr">
        <is>
          <t>Dim_Vendor  —  add a row here to make a new vendor available in Expenses</t>
        </is>
      </c>
      <c r="B4" s="2" t="n"/>
      <c r="C4" s="2" t="n"/>
      <c r="D4" s="2" t="n"/>
      <c r="E4" s="2" t="n"/>
    </row>
    <row r="5">
      <c r="A5" s="36" t="inlineStr">
        <is>
          <t>VendorID</t>
        </is>
      </c>
      <c r="B5" s="36" t="inlineStr">
        <is>
          <t>VendorName</t>
        </is>
      </c>
      <c r="C5" s="36" t="inlineStr">
        <is>
          <t>DefaultCategoryID</t>
        </is>
      </c>
      <c r="D5" s="36" t="inlineStr">
        <is>
          <t>CurMonthSpend</t>
        </is>
      </c>
      <c r="E5" s="36" t="inlineStr">
        <is>
          <t>YTDSpend</t>
        </is>
      </c>
    </row>
    <row r="6">
      <c r="A6" s="38" t="n">
        <v>1</v>
      </c>
      <c r="B6" s="38" t="inlineStr">
        <is>
          <t>Mortgage Lender</t>
        </is>
      </c>
      <c r="C6" s="38" t="n">
        <v>1</v>
      </c>
      <c r="D6" s="40">
        <f>SUMIFS(Fact_Expenses[Amount],Fact_Expenses[VendorName],$B6,Fact_Expenses[Date],"&gt;="&amp;CurMonthStart,Fact_Expenses[Date],"&lt;="&amp;CurMonthEnd)+SUMIFS(BankImportRaw[AbsAmount],BankImportRaw[VendorName],$B6,BankImportRaw[TransactionType],"Expense",BankImportRaw[Date],"&gt;="&amp;CurMonthStart,BankImportRaw[Date],"&lt;="&amp;CurMonthEnd)</f>
        <v/>
      </c>
      <c r="E6" s="40">
        <f>SUMIFS(Fact_Expenses[Amount],Fact_Expenses[VendorName],$B6,Fact_Expenses[Date],"&gt;="&amp;CurYearStart,Fact_Expenses[Date],"&lt;="&amp;CurYearEnd)+SUMIFS(BankImportRaw[AbsAmount],BankImportRaw[VendorName],$B6,BankImportRaw[TransactionType],"Expense",BankImportRaw[Date],"&gt;="&amp;CurYearStart,BankImportRaw[Date],"&lt;="&amp;CurYearEnd)</f>
        <v/>
      </c>
    </row>
    <row r="7">
      <c r="A7" s="38" t="n">
        <v>2</v>
      </c>
      <c r="B7" s="38" t="inlineStr">
        <is>
          <t>City Electric Co</t>
        </is>
      </c>
      <c r="C7" s="38" t="n">
        <v>2</v>
      </c>
      <c r="D7" s="40">
        <f>SUMIFS(Fact_Expenses[Amount],Fact_Expenses[VendorName],$B7,Fact_Expenses[Date],"&gt;="&amp;CurMonthStart,Fact_Expenses[Date],"&lt;="&amp;CurMonthEnd)+SUMIFS(BankImportRaw[AbsAmount],BankImportRaw[VendorName],$B7,BankImportRaw[TransactionType],"Expense",BankImportRaw[Date],"&gt;="&amp;CurMonthStart,BankImportRaw[Date],"&lt;="&amp;CurMonthEnd)</f>
        <v/>
      </c>
      <c r="E7" s="40">
        <f>SUMIFS(Fact_Expenses[Amount],Fact_Expenses[VendorName],$B7,Fact_Expenses[Date],"&gt;="&amp;CurYearStart,Fact_Expenses[Date],"&lt;="&amp;CurYearEnd)+SUMIFS(BankImportRaw[AbsAmount],BankImportRaw[VendorName],$B7,BankImportRaw[TransactionType],"Expense",BankImportRaw[Date],"&gt;="&amp;CurYearStart,BankImportRaw[Date],"&lt;="&amp;CurYearEnd)</f>
        <v/>
      </c>
    </row>
    <row r="8">
      <c r="A8" s="38" t="n">
        <v>3</v>
      </c>
      <c r="B8" s="38" t="inlineStr">
        <is>
          <t>Comcast Xfinity</t>
        </is>
      </c>
      <c r="C8" s="38" t="n">
        <v>2</v>
      </c>
      <c r="D8" s="40">
        <f>SUMIFS(Fact_Expenses[Amount],Fact_Expenses[VendorName],$B8,Fact_Expenses[Date],"&gt;="&amp;CurMonthStart,Fact_Expenses[Date],"&lt;="&amp;CurMonthEnd)+SUMIFS(BankImportRaw[AbsAmount],BankImportRaw[VendorName],$B8,BankImportRaw[TransactionType],"Expense",BankImportRaw[Date],"&gt;="&amp;CurMonthStart,BankImportRaw[Date],"&lt;="&amp;CurMonthEnd)</f>
        <v/>
      </c>
      <c r="E8" s="40">
        <f>SUMIFS(Fact_Expenses[Amount],Fact_Expenses[VendorName],$B8,Fact_Expenses[Date],"&gt;="&amp;CurYearStart,Fact_Expenses[Date],"&lt;="&amp;CurYearEnd)+SUMIFS(BankImportRaw[AbsAmount],BankImportRaw[VendorName],$B8,BankImportRaw[TransactionType],"Expense",BankImportRaw[Date],"&gt;="&amp;CurYearStart,BankImportRaw[Date],"&lt;="&amp;CurYearEnd)</f>
        <v/>
      </c>
    </row>
    <row r="9">
      <c r="A9" s="38" t="n">
        <v>4</v>
      </c>
      <c r="B9" s="38" t="inlineStr">
        <is>
          <t>Verizon Wireless</t>
        </is>
      </c>
      <c r="C9" s="38" t="n">
        <v>2</v>
      </c>
      <c r="D9" s="40">
        <f>SUMIFS(Fact_Expenses[Amount],Fact_Expenses[VendorName],$B9,Fact_Expenses[Date],"&gt;="&amp;CurMonthStart,Fact_Expenses[Date],"&lt;="&amp;CurMonthEnd)+SUMIFS(BankImportRaw[AbsAmount],BankImportRaw[VendorName],$B9,BankImportRaw[TransactionType],"Expense",BankImportRaw[Date],"&gt;="&amp;CurMonthStart,BankImportRaw[Date],"&lt;="&amp;CurMonthEnd)</f>
        <v/>
      </c>
      <c r="E9" s="40">
        <f>SUMIFS(Fact_Expenses[Amount],Fact_Expenses[VendorName],$B9,Fact_Expenses[Date],"&gt;="&amp;CurYearStart,Fact_Expenses[Date],"&lt;="&amp;CurYearEnd)+SUMIFS(BankImportRaw[AbsAmount],BankImportRaw[VendorName],$B9,BankImportRaw[TransactionType],"Expense",BankImportRaw[Date],"&gt;="&amp;CurYearStart,BankImportRaw[Date],"&lt;="&amp;CurYearEnd)</f>
        <v/>
      </c>
    </row>
    <row r="10">
      <c r="A10" s="38" t="n">
        <v>5</v>
      </c>
      <c r="B10" s="38" t="inlineStr">
        <is>
          <t>Shell Gas Station</t>
        </is>
      </c>
      <c r="C10" s="38" t="n">
        <v>3</v>
      </c>
      <c r="D10" s="40">
        <f>SUMIFS(Fact_Expenses[Amount],Fact_Expenses[VendorName],$B10,Fact_Expenses[Date],"&gt;="&amp;CurMonthStart,Fact_Expenses[Date],"&lt;="&amp;CurMonthEnd)+SUMIFS(BankImportRaw[AbsAmount],BankImportRaw[VendorName],$B10,BankImportRaw[TransactionType],"Expense",BankImportRaw[Date],"&gt;="&amp;CurMonthStart,BankImportRaw[Date],"&lt;="&amp;CurMonthEnd)</f>
        <v/>
      </c>
      <c r="E10" s="40">
        <f>SUMIFS(Fact_Expenses[Amount],Fact_Expenses[VendorName],$B10,Fact_Expenses[Date],"&gt;="&amp;CurYearStart,Fact_Expenses[Date],"&lt;="&amp;CurYearEnd)+SUMIFS(BankImportRaw[AbsAmount],BankImportRaw[VendorName],$B10,BankImportRaw[TransactionType],"Expense",BankImportRaw[Date],"&gt;="&amp;CurYearStart,BankImportRaw[Date],"&lt;="&amp;CurYearEnd)</f>
        <v/>
      </c>
    </row>
    <row r="11">
      <c r="A11" s="38" t="n">
        <v>6</v>
      </c>
      <c r="B11" s="38" t="inlineStr">
        <is>
          <t>AutoZone</t>
        </is>
      </c>
      <c r="C11" s="38" t="n">
        <v>3</v>
      </c>
      <c r="D11" s="40">
        <f>SUMIFS(Fact_Expenses[Amount],Fact_Expenses[VendorName],$B11,Fact_Expenses[Date],"&gt;="&amp;CurMonthStart,Fact_Expenses[Date],"&lt;="&amp;CurMonthEnd)+SUMIFS(BankImportRaw[AbsAmount],BankImportRaw[VendorName],$B11,BankImportRaw[TransactionType],"Expense",BankImportRaw[Date],"&gt;="&amp;CurMonthStart,BankImportRaw[Date],"&lt;="&amp;CurMonthEnd)</f>
        <v/>
      </c>
      <c r="E11" s="40">
        <f>SUMIFS(Fact_Expenses[Amount],Fact_Expenses[VendorName],$B11,Fact_Expenses[Date],"&gt;="&amp;CurYearStart,Fact_Expenses[Date],"&lt;="&amp;CurYearEnd)+SUMIFS(BankImportRaw[AbsAmount],BankImportRaw[VendorName],$B11,BankImportRaw[TransactionType],"Expense",BankImportRaw[Date],"&gt;="&amp;CurYearStart,BankImportRaw[Date],"&lt;="&amp;CurYearEnd)</f>
        <v/>
      </c>
    </row>
    <row r="12">
      <c r="A12" s="38" t="n">
        <v>7</v>
      </c>
      <c r="B12" s="38" t="inlineStr">
        <is>
          <t>Whole Foods</t>
        </is>
      </c>
      <c r="C12" s="38" t="n">
        <v>4</v>
      </c>
      <c r="D12" s="40">
        <f>SUMIFS(Fact_Expenses[Amount],Fact_Expenses[VendorName],$B12,Fact_Expenses[Date],"&gt;="&amp;CurMonthStart,Fact_Expenses[Date],"&lt;="&amp;CurMonthEnd)+SUMIFS(BankImportRaw[AbsAmount],BankImportRaw[VendorName],$B12,BankImportRaw[TransactionType],"Expense",BankImportRaw[Date],"&gt;="&amp;CurMonthStart,BankImportRaw[Date],"&lt;="&amp;CurMonthEnd)</f>
        <v/>
      </c>
      <c r="E12" s="40">
        <f>SUMIFS(Fact_Expenses[Amount],Fact_Expenses[VendorName],$B12,Fact_Expenses[Date],"&gt;="&amp;CurYearStart,Fact_Expenses[Date],"&lt;="&amp;CurYearEnd)+SUMIFS(BankImportRaw[AbsAmount],BankImportRaw[VendorName],$B12,BankImportRaw[TransactionType],"Expense",BankImportRaw[Date],"&gt;="&amp;CurYearStart,BankImportRaw[Date],"&lt;="&amp;CurYearEnd)</f>
        <v/>
      </c>
    </row>
    <row r="13">
      <c r="A13" s="38" t="n">
        <v>8</v>
      </c>
      <c r="B13" s="38" t="inlineStr">
        <is>
          <t>Costco</t>
        </is>
      </c>
      <c r="C13" s="38" t="n">
        <v>4</v>
      </c>
      <c r="D13" s="40">
        <f>SUMIFS(Fact_Expenses[Amount],Fact_Expenses[VendorName],$B13,Fact_Expenses[Date],"&gt;="&amp;CurMonthStart,Fact_Expenses[Date],"&lt;="&amp;CurMonthEnd)+SUMIFS(BankImportRaw[AbsAmount],BankImportRaw[VendorName],$B13,BankImportRaw[TransactionType],"Expense",BankImportRaw[Date],"&gt;="&amp;CurMonthStart,BankImportRaw[Date],"&lt;="&amp;CurMonthEnd)</f>
        <v/>
      </c>
      <c r="E13" s="40">
        <f>SUMIFS(Fact_Expenses[Amount],Fact_Expenses[VendorName],$B13,Fact_Expenses[Date],"&gt;="&amp;CurYearStart,Fact_Expenses[Date],"&lt;="&amp;CurYearEnd)+SUMIFS(BankImportRaw[AbsAmount],BankImportRaw[VendorName],$B13,BankImportRaw[TransactionType],"Expense",BankImportRaw[Date],"&gt;="&amp;CurYearStart,BankImportRaw[Date],"&lt;="&amp;CurYearEnd)</f>
        <v/>
      </c>
    </row>
    <row r="14">
      <c r="A14" s="38" t="n">
        <v>9</v>
      </c>
      <c r="B14" s="38" t="inlineStr">
        <is>
          <t>State Farm Insurance</t>
        </is>
      </c>
      <c r="C14" s="38" t="n">
        <v>5</v>
      </c>
      <c r="D14" s="40">
        <f>SUMIFS(Fact_Expenses[Amount],Fact_Expenses[VendorName],$B14,Fact_Expenses[Date],"&gt;="&amp;CurMonthStart,Fact_Expenses[Date],"&lt;="&amp;CurMonthEnd)+SUMIFS(BankImportRaw[AbsAmount],BankImportRaw[VendorName],$B14,BankImportRaw[TransactionType],"Expense",BankImportRaw[Date],"&gt;="&amp;CurMonthStart,BankImportRaw[Date],"&lt;="&amp;CurMonthEnd)</f>
        <v/>
      </c>
      <c r="E14" s="40">
        <f>SUMIFS(Fact_Expenses[Amount],Fact_Expenses[VendorName],$B14,Fact_Expenses[Date],"&gt;="&amp;CurYearStart,Fact_Expenses[Date],"&lt;="&amp;CurYearEnd)+SUMIFS(BankImportRaw[AbsAmount],BankImportRaw[VendorName],$B14,BankImportRaw[TransactionType],"Expense",BankImportRaw[Date],"&gt;="&amp;CurYearStart,BankImportRaw[Date],"&lt;="&amp;CurYearEnd)</f>
        <v/>
      </c>
    </row>
    <row r="15">
      <c r="A15" s="38" t="n">
        <v>10</v>
      </c>
      <c r="B15" s="38" t="inlineStr">
        <is>
          <t>Kaiser Permanente</t>
        </is>
      </c>
      <c r="C15" s="38" t="n">
        <v>6</v>
      </c>
      <c r="D15" s="40">
        <f>SUMIFS(Fact_Expenses[Amount],Fact_Expenses[VendorName],$B15,Fact_Expenses[Date],"&gt;="&amp;CurMonthStart,Fact_Expenses[Date],"&lt;="&amp;CurMonthEnd)+SUMIFS(BankImportRaw[AbsAmount],BankImportRaw[VendorName],$B15,BankImportRaw[TransactionType],"Expense",BankImportRaw[Date],"&gt;="&amp;CurMonthStart,BankImportRaw[Date],"&lt;="&amp;CurMonthEnd)</f>
        <v/>
      </c>
      <c r="E15" s="40">
        <f>SUMIFS(Fact_Expenses[Amount],Fact_Expenses[VendorName],$B15,Fact_Expenses[Date],"&gt;="&amp;CurYearStart,Fact_Expenses[Date],"&lt;="&amp;CurYearEnd)+SUMIFS(BankImportRaw[AbsAmount],BankImportRaw[VendorName],$B15,BankImportRaw[TransactionType],"Expense",BankImportRaw[Date],"&gt;="&amp;CurYearStart,BankImportRaw[Date],"&lt;="&amp;CurYearEnd)</f>
        <v/>
      </c>
    </row>
    <row r="16">
      <c r="A16" s="38" t="n">
        <v>11</v>
      </c>
      <c r="B16" s="38" t="inlineStr">
        <is>
          <t>Chipotle</t>
        </is>
      </c>
      <c r="C16" s="38" t="n">
        <v>7</v>
      </c>
      <c r="D16" s="40">
        <f>SUMIFS(Fact_Expenses[Amount],Fact_Expenses[VendorName],$B16,Fact_Expenses[Date],"&gt;="&amp;CurMonthStart,Fact_Expenses[Date],"&lt;="&amp;CurMonthEnd)+SUMIFS(BankImportRaw[AbsAmount],BankImportRaw[VendorName],$B16,BankImportRaw[TransactionType],"Expense",BankImportRaw[Date],"&gt;="&amp;CurMonthStart,BankImportRaw[Date],"&lt;="&amp;CurMonthEnd)</f>
        <v/>
      </c>
      <c r="E16" s="40">
        <f>SUMIFS(Fact_Expenses[Amount],Fact_Expenses[VendorName],$B16,Fact_Expenses[Date],"&gt;="&amp;CurYearStart,Fact_Expenses[Date],"&lt;="&amp;CurYearEnd)+SUMIFS(BankImportRaw[AbsAmount],BankImportRaw[VendorName],$B16,BankImportRaw[TransactionType],"Expense",BankImportRaw[Date],"&gt;="&amp;CurYearStart,BankImportRaw[Date],"&lt;="&amp;CurYearEnd)</f>
        <v/>
      </c>
    </row>
    <row r="17">
      <c r="A17" s="38" t="n">
        <v>12</v>
      </c>
      <c r="B17" s="38" t="inlineStr">
        <is>
          <t>Netflix</t>
        </is>
      </c>
      <c r="C17" s="38" t="n">
        <v>7</v>
      </c>
      <c r="D17" s="40">
        <f>SUMIFS(Fact_Expenses[Amount],Fact_Expenses[VendorName],$B17,Fact_Expenses[Date],"&gt;="&amp;CurMonthStart,Fact_Expenses[Date],"&lt;="&amp;CurMonthEnd)+SUMIFS(BankImportRaw[AbsAmount],BankImportRaw[VendorName],$B17,BankImportRaw[TransactionType],"Expense",BankImportRaw[Date],"&gt;="&amp;CurMonthStart,BankImportRaw[Date],"&lt;="&amp;CurMonthEnd)</f>
        <v/>
      </c>
      <c r="E17" s="40">
        <f>SUMIFS(Fact_Expenses[Amount],Fact_Expenses[VendorName],$B17,Fact_Expenses[Date],"&gt;="&amp;CurYearStart,Fact_Expenses[Date],"&lt;="&amp;CurYearEnd)+SUMIFS(BankImportRaw[AbsAmount],BankImportRaw[VendorName],$B17,BankImportRaw[TransactionType],"Expense",BankImportRaw[Date],"&gt;="&amp;CurYearStart,BankImportRaw[Date],"&lt;="&amp;CurYearEnd)</f>
        <v/>
      </c>
    </row>
    <row r="18">
      <c r="A18" s="38" t="n">
        <v>13</v>
      </c>
      <c r="B18" s="38" t="inlineStr">
        <is>
          <t>AMC Theatres</t>
        </is>
      </c>
      <c r="C18" s="38" t="n">
        <v>7</v>
      </c>
      <c r="D18" s="40">
        <f>SUMIFS(Fact_Expenses[Amount],Fact_Expenses[VendorName],$B18,Fact_Expenses[Date],"&gt;="&amp;CurMonthStart,Fact_Expenses[Date],"&lt;="&amp;CurMonthEnd)+SUMIFS(BankImportRaw[AbsAmount],BankImportRaw[VendorName],$B18,BankImportRaw[TransactionType],"Expense",BankImportRaw[Date],"&gt;="&amp;CurMonthStart,BankImportRaw[Date],"&lt;="&amp;CurMonthEnd)</f>
        <v/>
      </c>
      <c r="E18" s="40">
        <f>SUMIFS(Fact_Expenses[Amount],Fact_Expenses[VendorName],$B18,Fact_Expenses[Date],"&gt;="&amp;CurYearStart,Fact_Expenses[Date],"&lt;="&amp;CurYearEnd)+SUMIFS(BankImportRaw[AbsAmount],BankImportRaw[VendorName],$B18,BankImportRaw[TransactionType],"Expense",BankImportRaw[Date],"&gt;="&amp;CurYearStart,BankImportRaw[Date],"&lt;="&amp;CurYearEnd)</f>
        <v/>
      </c>
    </row>
    <row r="19">
      <c r="A19" s="38" t="n">
        <v>14</v>
      </c>
      <c r="B19" s="38" t="inlineStr">
        <is>
          <t>Planet Fitness</t>
        </is>
      </c>
      <c r="C19" s="38" t="n">
        <v>8</v>
      </c>
      <c r="D19" s="40">
        <f>SUMIFS(Fact_Expenses[Amount],Fact_Expenses[VendorName],$B19,Fact_Expenses[Date],"&gt;="&amp;CurMonthStart,Fact_Expenses[Date],"&lt;="&amp;CurMonthEnd)+SUMIFS(BankImportRaw[AbsAmount],BankImportRaw[VendorName],$B19,BankImportRaw[TransactionType],"Expense",BankImportRaw[Date],"&gt;="&amp;CurMonthStart,BankImportRaw[Date],"&lt;="&amp;CurMonthEnd)</f>
        <v/>
      </c>
      <c r="E19" s="40">
        <f>SUMIFS(Fact_Expenses[Amount],Fact_Expenses[VendorName],$B19,Fact_Expenses[Date],"&gt;="&amp;CurYearStart,Fact_Expenses[Date],"&lt;="&amp;CurYearEnd)+SUMIFS(BankImportRaw[AbsAmount],BankImportRaw[VendorName],$B19,BankImportRaw[TransactionType],"Expense",BankImportRaw[Date],"&gt;="&amp;CurYearStart,BankImportRaw[Date],"&lt;="&amp;CurYearEnd)</f>
        <v/>
      </c>
    </row>
    <row r="20">
      <c r="A20" s="38" t="n">
        <v>15</v>
      </c>
      <c r="B20" s="38" t="inlineStr">
        <is>
          <t>Amazon</t>
        </is>
      </c>
      <c r="C20" s="38" t="n">
        <v>9</v>
      </c>
      <c r="D20" s="40">
        <f>SUMIFS(Fact_Expenses[Amount],Fact_Expenses[VendorName],$B20,Fact_Expenses[Date],"&gt;="&amp;CurMonthStart,Fact_Expenses[Date],"&lt;="&amp;CurMonthEnd)+SUMIFS(BankImportRaw[AbsAmount],BankImportRaw[VendorName],$B20,BankImportRaw[TransactionType],"Expense",BankImportRaw[Date],"&gt;="&amp;CurMonthStart,BankImportRaw[Date],"&lt;="&amp;CurMonthEnd)</f>
        <v/>
      </c>
      <c r="E20" s="40">
        <f>SUMIFS(Fact_Expenses[Amount],Fact_Expenses[VendorName],$B20,Fact_Expenses[Date],"&gt;="&amp;CurYearStart,Fact_Expenses[Date],"&lt;="&amp;CurYearEnd)+SUMIFS(BankImportRaw[AbsAmount],BankImportRaw[VendorName],$B20,BankImportRaw[TransactionType],"Expense",BankImportRaw[Date],"&gt;="&amp;CurYearStart,BankImportRaw[Date],"&lt;="&amp;CurYearEnd)</f>
        <v/>
      </c>
    </row>
    <row r="21">
      <c r="A21" s="38" t="n">
        <v>16</v>
      </c>
      <c r="B21" s="38" t="inlineStr">
        <is>
          <t>Target</t>
        </is>
      </c>
      <c r="C21" s="38" t="n">
        <v>9</v>
      </c>
      <c r="D21" s="40">
        <f>SUMIFS(Fact_Expenses[Amount],Fact_Expenses[VendorName],$B21,Fact_Expenses[Date],"&gt;="&amp;CurMonthStart,Fact_Expenses[Date],"&lt;="&amp;CurMonthEnd)+SUMIFS(BankImportRaw[AbsAmount],BankImportRaw[VendorName],$B21,BankImportRaw[TransactionType],"Expense",BankImportRaw[Date],"&gt;="&amp;CurMonthStart,BankImportRaw[Date],"&lt;="&amp;CurMonthEnd)</f>
        <v/>
      </c>
      <c r="E21" s="40">
        <f>SUMIFS(Fact_Expenses[Amount],Fact_Expenses[VendorName],$B21,Fact_Expenses[Date],"&gt;="&amp;CurYearStart,Fact_Expenses[Date],"&lt;="&amp;CurYearEnd)+SUMIFS(BankImportRaw[AbsAmount],BankImportRaw[VendorName],$B21,BankImportRaw[TransactionType],"Expense",BankImportRaw[Date],"&gt;="&amp;CurYearStart,BankImportRaw[Date],"&lt;="&amp;CurYearEnd)</f>
        <v/>
      </c>
    </row>
    <row r="22">
      <c r="A22" s="38" t="n">
        <v>17</v>
      </c>
      <c r="B22" s="38" t="inlineStr">
        <is>
          <t>Employer Payroll Inc</t>
        </is>
      </c>
      <c r="C22" s="38" t="n">
        <v>11</v>
      </c>
      <c r="D22" s="40">
        <f>SUMIFS(Fact_Expenses[Amount],Fact_Expenses[VendorName],$B22,Fact_Expenses[Date],"&gt;="&amp;CurMonthStart,Fact_Expenses[Date],"&lt;="&amp;CurMonthEnd)+SUMIFS(BankImportRaw[AbsAmount],BankImportRaw[VendorName],$B22,BankImportRaw[TransactionType],"Expense",BankImportRaw[Date],"&gt;="&amp;CurMonthStart,BankImportRaw[Date],"&lt;="&amp;CurMonthEnd)</f>
        <v/>
      </c>
      <c r="E22" s="40">
        <f>SUMIFS(Fact_Expenses[Amount],Fact_Expenses[VendorName],$B22,Fact_Expenses[Date],"&gt;="&amp;CurYearStart,Fact_Expenses[Date],"&lt;="&amp;CurYearEnd)+SUMIFS(BankImportRaw[AbsAmount],BankImportRaw[VendorName],$B22,BankImportRaw[TransactionType],"Expense",BankImportRaw[Date],"&gt;="&amp;CurYearStart,BankImportRaw[Date],"&lt;="&amp;CurYearEnd)</f>
        <v/>
      </c>
    </row>
    <row r="23">
      <c r="A23" s="38" t="n">
        <v>18</v>
      </c>
      <c r="B23" s="38" t="inlineStr">
        <is>
          <t>Other Income Source</t>
        </is>
      </c>
      <c r="C23" s="38" t="n">
        <v>12</v>
      </c>
      <c r="D23" s="40">
        <f>SUMIFS(Fact_Expenses[Amount],Fact_Expenses[VendorName],$B23,Fact_Expenses[Date],"&gt;="&amp;CurMonthStart,Fact_Expenses[Date],"&lt;="&amp;CurMonthEnd)+SUMIFS(BankImportRaw[AbsAmount],BankImportRaw[VendorName],$B23,BankImportRaw[TransactionType],"Expense",BankImportRaw[Date],"&gt;="&amp;CurMonthStart,BankImportRaw[Date],"&lt;="&amp;CurMonthEnd)</f>
        <v/>
      </c>
      <c r="E23" s="40">
        <f>SUMIFS(Fact_Expenses[Amount],Fact_Expenses[VendorName],$B23,Fact_Expenses[Date],"&gt;="&amp;CurYearStart,Fact_Expenses[Date],"&lt;="&amp;CurYearEnd)+SUMIFS(BankImportRaw[AbsAmount],BankImportRaw[VendorName],$B23,BankImportRaw[TransactionType],"Expense",BankImportRaw[Date],"&gt;="&amp;CurYearStart,BankImportRaw[Date],"&lt;="&amp;CurYearEnd)</f>
        <v/>
      </c>
    </row>
  </sheetData>
  <mergeCells count="2">
    <mergeCell ref="A4:E4"/>
    <mergeCell ref="A1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6B7280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</cols>
  <sheetData>
    <row r="1" ht="30" customHeight="1">
      <c r="A1" s="29" t="inlineStr">
        <is>
          <t>Accounts</t>
        </is>
      </c>
      <c r="B1" s="2" t="n"/>
      <c r="C1" s="2" t="n"/>
      <c r="D1" s="2" t="n"/>
      <c r="E1" s="2" t="n"/>
      <c r="F1" s="2" t="n"/>
    </row>
    <row r="2" ht="10" customHeight="1">
      <c r="A2" s="2" t="n"/>
      <c r="B2" s="2" t="n"/>
      <c r="C2" s="2" t="n"/>
      <c r="D2" s="2" t="n"/>
      <c r="E2" s="2" t="n"/>
      <c r="F2" s="2" t="n"/>
    </row>
    <row r="4" ht="20" customHeight="1">
      <c r="A4" s="26" t="inlineStr">
        <is>
          <t>Dim_Account  —  add a row here to make a new account available everywhere</t>
        </is>
      </c>
      <c r="B4" s="2" t="n"/>
      <c r="C4" s="2" t="n"/>
      <c r="D4" s="2" t="n"/>
    </row>
    <row r="5">
      <c r="A5" s="36" t="inlineStr">
        <is>
          <t>AccountID</t>
        </is>
      </c>
      <c r="B5" s="36" t="inlineStr">
        <is>
          <t>AccountName</t>
        </is>
      </c>
      <c r="C5" s="36" t="inlineStr">
        <is>
          <t>AccountType</t>
        </is>
      </c>
      <c r="D5" s="36" t="inlineStr">
        <is>
          <t>Balance</t>
        </is>
      </c>
    </row>
    <row r="6">
      <c r="A6" s="38" t="n">
        <v>1</v>
      </c>
      <c r="B6" s="38" t="inlineStr">
        <is>
          <t>Checking</t>
        </is>
      </c>
      <c r="C6" s="38" t="inlineStr">
        <is>
          <t>Checking</t>
        </is>
      </c>
      <c r="D6" s="42" t="n">
        <v>4820.55</v>
      </c>
    </row>
    <row r="7">
      <c r="A7" s="38" t="n">
        <v>2</v>
      </c>
      <c r="B7" s="38" t="inlineStr">
        <is>
          <t>Savings</t>
        </is>
      </c>
      <c r="C7" s="38" t="inlineStr">
        <is>
          <t>Savings</t>
        </is>
      </c>
      <c r="D7" s="42" t="n">
        <v>18250</v>
      </c>
    </row>
    <row r="8">
      <c r="A8" s="38" t="n">
        <v>3</v>
      </c>
      <c r="B8" s="38" t="inlineStr">
        <is>
          <t>Credit Card</t>
        </is>
      </c>
      <c r="C8" s="38" t="inlineStr">
        <is>
          <t>Credit Card</t>
        </is>
      </c>
      <c r="D8" s="42" t="n">
        <v>-1240.33</v>
      </c>
    </row>
    <row r="11" ht="20" customHeight="1">
      <c r="A11" s="26" t="inlineStr">
        <is>
          <t>Account Totals</t>
        </is>
      </c>
      <c r="B11" s="2" t="n"/>
      <c r="C11" s="2" t="n"/>
      <c r="D11" s="2" t="n"/>
    </row>
    <row r="12">
      <c r="A12" s="19" t="inlineStr">
        <is>
          <t>Total All Accounts</t>
        </is>
      </c>
      <c r="B12" s="43">
        <f>SUM(Dim_Account[Balance])</f>
        <v/>
      </c>
    </row>
  </sheetData>
  <mergeCells count="3">
    <mergeCell ref="A4:D4"/>
    <mergeCell ref="A1:F2"/>
    <mergeCell ref="A11:D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6B7280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" customWidth="1" min="3" max="3"/>
    <col width="20" customWidth="1" min="4" max="4"/>
    <col width="16" customWidth="1" min="5" max="5"/>
  </cols>
  <sheetData>
    <row r="1" ht="30" customHeight="1">
      <c r="A1" s="29" t="inlineStr">
        <is>
          <t>Settings</t>
        </is>
      </c>
      <c r="B1" s="2" t="n"/>
      <c r="C1" s="2" t="n"/>
      <c r="D1" s="2" t="n"/>
      <c r="E1" s="2" t="n"/>
      <c r="F1" s="2" t="n"/>
      <c r="G1" s="2" t="n"/>
      <c r="H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 ht="20" customHeight="1">
      <c r="A4" s="26" t="inlineStr">
        <is>
          <t>System Date Anchors (used by all SUMIFS date filters)</t>
        </is>
      </c>
      <c r="B4" s="2" t="n"/>
      <c r="C4" s="2" t="n"/>
      <c r="D4" s="2" t="n"/>
      <c r="E4" s="2" t="n"/>
    </row>
    <row r="5">
      <c r="A5" s="44" t="inlineStr">
        <is>
          <t>Today's Date</t>
        </is>
      </c>
      <c r="B5" s="45">
        <f>TODAY()</f>
        <v/>
      </c>
    </row>
    <row r="6">
      <c r="A6" s="44" t="inlineStr">
        <is>
          <t>Current Month Start</t>
        </is>
      </c>
      <c r="B6" s="45">
        <f>EOMONTH(TodayDate,-1)+1</f>
        <v/>
      </c>
    </row>
    <row r="7">
      <c r="A7" s="44" t="inlineStr">
        <is>
          <t>Current Month End</t>
        </is>
      </c>
      <c r="B7" s="45">
        <f>EOMONTH(TodayDate,0)</f>
        <v/>
      </c>
    </row>
    <row r="8">
      <c r="A8" s="44" t="inlineStr">
        <is>
          <t>Last Month Start</t>
        </is>
      </c>
      <c r="B8" s="45">
        <f>EOMONTH(TodayDate,-2)+1</f>
        <v/>
      </c>
    </row>
    <row r="9">
      <c r="A9" s="44" t="inlineStr">
        <is>
          <t>Last Month End</t>
        </is>
      </c>
      <c r="B9" s="45">
        <f>EOMONTH(TodayDate,-1)</f>
        <v/>
      </c>
    </row>
    <row r="10">
      <c r="A10" s="44" t="inlineStr">
        <is>
          <t>Current Year Start</t>
        </is>
      </c>
      <c r="B10" s="45">
        <f>DATE(YEAR(TodayDate),1,1)</f>
        <v/>
      </c>
    </row>
    <row r="11">
      <c r="A11" s="44" t="inlineStr">
        <is>
          <t>Current Year End</t>
        </is>
      </c>
      <c r="B11" s="45">
        <f>DATE(YEAR(TodayDate),12,31)</f>
        <v/>
      </c>
    </row>
    <row r="14" ht="20" customHeight="1">
      <c r="A14" s="26" t="inlineStr">
        <is>
          <t>Dim_PaymentMethod</t>
        </is>
      </c>
      <c r="B14" s="2" t="n"/>
      <c r="C14" s="2" t="n"/>
      <c r="D14" s="2" t="n"/>
      <c r="E14" s="2" t="n"/>
    </row>
    <row r="15">
      <c r="A15" s="36" t="inlineStr">
        <is>
          <t>PaymentMethodID</t>
        </is>
      </c>
      <c r="B15" s="36" t="inlineStr">
        <is>
          <t>MethodName</t>
        </is>
      </c>
    </row>
    <row r="16">
      <c r="A16" s="38" t="n">
        <v>1</v>
      </c>
      <c r="B16" s="38" t="inlineStr">
        <is>
          <t>Credit Card</t>
        </is>
      </c>
    </row>
    <row r="17">
      <c r="A17" s="38" t="n">
        <v>2</v>
      </c>
      <c r="B17" s="38" t="inlineStr">
        <is>
          <t>Debit Card</t>
        </is>
      </c>
    </row>
    <row r="18">
      <c r="A18" s="38" t="n">
        <v>3</v>
      </c>
      <c r="B18" s="38" t="inlineStr">
        <is>
          <t>Cash</t>
        </is>
      </c>
    </row>
    <row r="19">
      <c r="A19" s="38" t="n">
        <v>4</v>
      </c>
      <c r="B19" s="38" t="inlineStr">
        <is>
          <t>ACH</t>
        </is>
      </c>
    </row>
    <row r="20">
      <c r="A20" s="38" t="n">
        <v>5</v>
      </c>
      <c r="B20" s="38" t="inlineStr">
        <is>
          <t>Check</t>
        </is>
      </c>
    </row>
    <row r="23" ht="20" customHeight="1">
      <c r="A23" s="26" t="inlineStr">
        <is>
          <t>Controlled Vocabulary Lists (used for data-validation dropdowns)</t>
        </is>
      </c>
      <c r="B23" s="2" t="n"/>
      <c r="C23" s="2" t="n"/>
      <c r="D23" s="2" t="n"/>
      <c r="E23" s="2" t="n"/>
    </row>
    <row r="24">
      <c r="A24" s="46" t="inlineStr">
        <is>
          <t>List_YesNo</t>
        </is>
      </c>
      <c r="B24" s="46" t="inlineStr">
        <is>
          <t>List_NeedWant</t>
        </is>
      </c>
    </row>
    <row r="25">
      <c r="A25" s="38" t="inlineStr">
        <is>
          <t>Yes</t>
        </is>
      </c>
      <c r="B25" s="38" t="inlineStr">
        <is>
          <t>Need</t>
        </is>
      </c>
    </row>
    <row r="26">
      <c r="A26" s="38" t="inlineStr">
        <is>
          <t>No</t>
        </is>
      </c>
      <c r="B26" s="38" t="inlineStr">
        <is>
          <t>Want</t>
        </is>
      </c>
    </row>
  </sheetData>
  <mergeCells count="4">
    <mergeCell ref="A1:H2"/>
    <mergeCell ref="A23:E23"/>
    <mergeCell ref="A4:E4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46" t="inlineStr">
        <is>
          <t>DateID</t>
        </is>
      </c>
      <c r="B1" s="46" t="inlineStr">
        <is>
          <t>Date</t>
        </is>
      </c>
      <c r="C1" s="46" t="inlineStr">
        <is>
          <t>Month</t>
        </is>
      </c>
      <c r="D1" s="46" t="inlineStr">
        <is>
          <t>MonthNumber</t>
        </is>
      </c>
      <c r="E1" s="46" t="inlineStr">
        <is>
          <t>Quarter</t>
        </is>
      </c>
      <c r="F1" s="46" t="inlineStr">
        <is>
          <t>Year</t>
        </is>
      </c>
    </row>
    <row r="2">
      <c r="A2">
        <f>INT(B2)</f>
        <v/>
      </c>
      <c r="B2" s="37" t="n">
        <v>45658</v>
      </c>
      <c r="C2">
        <f>TEXT(B2,"mmm")</f>
        <v/>
      </c>
      <c r="D2">
        <f>MONTH(B2)</f>
        <v/>
      </c>
      <c r="E2">
        <f>ROUNDUP(MONTH(B2)/3,0)</f>
        <v/>
      </c>
      <c r="F2">
        <f>YEAR(B2)</f>
        <v/>
      </c>
    </row>
    <row r="3">
      <c r="A3">
        <f>INT(B3)</f>
        <v/>
      </c>
      <c r="B3" s="37" t="n">
        <v>45659</v>
      </c>
      <c r="C3">
        <f>TEXT(B3,"mmm")</f>
        <v/>
      </c>
      <c r="D3">
        <f>MONTH(B3)</f>
        <v/>
      </c>
      <c r="E3">
        <f>ROUNDUP(MONTH(B3)/3,0)</f>
        <v/>
      </c>
      <c r="F3">
        <f>YEAR(B3)</f>
        <v/>
      </c>
    </row>
    <row r="4">
      <c r="A4">
        <f>INT(B4)</f>
        <v/>
      </c>
      <c r="B4" s="37" t="n">
        <v>45660</v>
      </c>
      <c r="C4">
        <f>TEXT(B4,"mmm")</f>
        <v/>
      </c>
      <c r="D4">
        <f>MONTH(B4)</f>
        <v/>
      </c>
      <c r="E4">
        <f>ROUNDUP(MONTH(B4)/3,0)</f>
        <v/>
      </c>
      <c r="F4">
        <f>YEAR(B4)</f>
        <v/>
      </c>
    </row>
    <row r="5">
      <c r="A5">
        <f>INT(B5)</f>
        <v/>
      </c>
      <c r="B5" s="37" t="n">
        <v>45661</v>
      </c>
      <c r="C5">
        <f>TEXT(B5,"mmm")</f>
        <v/>
      </c>
      <c r="D5">
        <f>MONTH(B5)</f>
        <v/>
      </c>
      <c r="E5">
        <f>ROUNDUP(MONTH(B5)/3,0)</f>
        <v/>
      </c>
      <c r="F5">
        <f>YEAR(B5)</f>
        <v/>
      </c>
    </row>
    <row r="6">
      <c r="A6">
        <f>INT(B6)</f>
        <v/>
      </c>
      <c r="B6" s="37" t="n">
        <v>45662</v>
      </c>
      <c r="C6">
        <f>TEXT(B6,"mmm")</f>
        <v/>
      </c>
      <c r="D6">
        <f>MONTH(B6)</f>
        <v/>
      </c>
      <c r="E6">
        <f>ROUNDUP(MONTH(B6)/3,0)</f>
        <v/>
      </c>
      <c r="F6">
        <f>YEAR(B6)</f>
        <v/>
      </c>
    </row>
    <row r="7">
      <c r="A7">
        <f>INT(B7)</f>
        <v/>
      </c>
      <c r="B7" s="37" t="n">
        <v>45663</v>
      </c>
      <c r="C7">
        <f>TEXT(B7,"mmm")</f>
        <v/>
      </c>
      <c r="D7">
        <f>MONTH(B7)</f>
        <v/>
      </c>
      <c r="E7">
        <f>ROUNDUP(MONTH(B7)/3,0)</f>
        <v/>
      </c>
      <c r="F7">
        <f>YEAR(B7)</f>
        <v/>
      </c>
    </row>
    <row r="8">
      <c r="A8">
        <f>INT(B8)</f>
        <v/>
      </c>
      <c r="B8" s="37" t="n">
        <v>45664</v>
      </c>
      <c r="C8">
        <f>TEXT(B8,"mmm")</f>
        <v/>
      </c>
      <c r="D8">
        <f>MONTH(B8)</f>
        <v/>
      </c>
      <c r="E8">
        <f>ROUNDUP(MONTH(B8)/3,0)</f>
        <v/>
      </c>
      <c r="F8">
        <f>YEAR(B8)</f>
        <v/>
      </c>
    </row>
    <row r="9">
      <c r="A9">
        <f>INT(B9)</f>
        <v/>
      </c>
      <c r="B9" s="37" t="n">
        <v>45665</v>
      </c>
      <c r="C9">
        <f>TEXT(B9,"mmm")</f>
        <v/>
      </c>
      <c r="D9">
        <f>MONTH(B9)</f>
        <v/>
      </c>
      <c r="E9">
        <f>ROUNDUP(MONTH(B9)/3,0)</f>
        <v/>
      </c>
      <c r="F9">
        <f>YEAR(B9)</f>
        <v/>
      </c>
    </row>
    <row r="10">
      <c r="A10">
        <f>INT(B10)</f>
        <v/>
      </c>
      <c r="B10" s="37" t="n">
        <v>45666</v>
      </c>
      <c r="C10">
        <f>TEXT(B10,"mmm")</f>
        <v/>
      </c>
      <c r="D10">
        <f>MONTH(B10)</f>
        <v/>
      </c>
      <c r="E10">
        <f>ROUNDUP(MONTH(B10)/3,0)</f>
        <v/>
      </c>
      <c r="F10">
        <f>YEAR(B10)</f>
        <v/>
      </c>
    </row>
    <row r="11">
      <c r="A11">
        <f>INT(B11)</f>
        <v/>
      </c>
      <c r="B11" s="37" t="n">
        <v>45667</v>
      </c>
      <c r="C11">
        <f>TEXT(B11,"mmm")</f>
        <v/>
      </c>
      <c r="D11">
        <f>MONTH(B11)</f>
        <v/>
      </c>
      <c r="E11">
        <f>ROUNDUP(MONTH(B11)/3,0)</f>
        <v/>
      </c>
      <c r="F11">
        <f>YEAR(B11)</f>
        <v/>
      </c>
    </row>
    <row r="12">
      <c r="A12">
        <f>INT(B12)</f>
        <v/>
      </c>
      <c r="B12" s="37" t="n">
        <v>45668</v>
      </c>
      <c r="C12">
        <f>TEXT(B12,"mmm")</f>
        <v/>
      </c>
      <c r="D12">
        <f>MONTH(B12)</f>
        <v/>
      </c>
      <c r="E12">
        <f>ROUNDUP(MONTH(B12)/3,0)</f>
        <v/>
      </c>
      <c r="F12">
        <f>YEAR(B12)</f>
        <v/>
      </c>
    </row>
    <row r="13">
      <c r="A13">
        <f>INT(B13)</f>
        <v/>
      </c>
      <c r="B13" s="37" t="n">
        <v>45669</v>
      </c>
      <c r="C13">
        <f>TEXT(B13,"mmm")</f>
        <v/>
      </c>
      <c r="D13">
        <f>MONTH(B13)</f>
        <v/>
      </c>
      <c r="E13">
        <f>ROUNDUP(MONTH(B13)/3,0)</f>
        <v/>
      </c>
      <c r="F13">
        <f>YEAR(B13)</f>
        <v/>
      </c>
    </row>
    <row r="14">
      <c r="A14">
        <f>INT(B14)</f>
        <v/>
      </c>
      <c r="B14" s="37" t="n">
        <v>45670</v>
      </c>
      <c r="C14">
        <f>TEXT(B14,"mmm")</f>
        <v/>
      </c>
      <c r="D14">
        <f>MONTH(B14)</f>
        <v/>
      </c>
      <c r="E14">
        <f>ROUNDUP(MONTH(B14)/3,0)</f>
        <v/>
      </c>
      <c r="F14">
        <f>YEAR(B14)</f>
        <v/>
      </c>
    </row>
    <row r="15">
      <c r="A15">
        <f>INT(B15)</f>
        <v/>
      </c>
      <c r="B15" s="37" t="n">
        <v>45671</v>
      </c>
      <c r="C15">
        <f>TEXT(B15,"mmm")</f>
        <v/>
      </c>
      <c r="D15">
        <f>MONTH(B15)</f>
        <v/>
      </c>
      <c r="E15">
        <f>ROUNDUP(MONTH(B15)/3,0)</f>
        <v/>
      </c>
      <c r="F15">
        <f>YEAR(B15)</f>
        <v/>
      </c>
    </row>
    <row r="16">
      <c r="A16">
        <f>INT(B16)</f>
        <v/>
      </c>
      <c r="B16" s="37" t="n">
        <v>45672</v>
      </c>
      <c r="C16">
        <f>TEXT(B16,"mmm")</f>
        <v/>
      </c>
      <c r="D16">
        <f>MONTH(B16)</f>
        <v/>
      </c>
      <c r="E16">
        <f>ROUNDUP(MONTH(B16)/3,0)</f>
        <v/>
      </c>
      <c r="F16">
        <f>YEAR(B16)</f>
        <v/>
      </c>
    </row>
    <row r="17">
      <c r="A17">
        <f>INT(B17)</f>
        <v/>
      </c>
      <c r="B17" s="37" t="n">
        <v>45673</v>
      </c>
      <c r="C17">
        <f>TEXT(B17,"mmm")</f>
        <v/>
      </c>
      <c r="D17">
        <f>MONTH(B17)</f>
        <v/>
      </c>
      <c r="E17">
        <f>ROUNDUP(MONTH(B17)/3,0)</f>
        <v/>
      </c>
      <c r="F17">
        <f>YEAR(B17)</f>
        <v/>
      </c>
    </row>
    <row r="18">
      <c r="A18">
        <f>INT(B18)</f>
        <v/>
      </c>
      <c r="B18" s="37" t="n">
        <v>45674</v>
      </c>
      <c r="C18">
        <f>TEXT(B18,"mmm")</f>
        <v/>
      </c>
      <c r="D18">
        <f>MONTH(B18)</f>
        <v/>
      </c>
      <c r="E18">
        <f>ROUNDUP(MONTH(B18)/3,0)</f>
        <v/>
      </c>
      <c r="F18">
        <f>YEAR(B18)</f>
        <v/>
      </c>
    </row>
    <row r="19">
      <c r="A19">
        <f>INT(B19)</f>
        <v/>
      </c>
      <c r="B19" s="37" t="n">
        <v>45675</v>
      </c>
      <c r="C19">
        <f>TEXT(B19,"mmm")</f>
        <v/>
      </c>
      <c r="D19">
        <f>MONTH(B19)</f>
        <v/>
      </c>
      <c r="E19">
        <f>ROUNDUP(MONTH(B19)/3,0)</f>
        <v/>
      </c>
      <c r="F19">
        <f>YEAR(B19)</f>
        <v/>
      </c>
    </row>
    <row r="20">
      <c r="A20">
        <f>INT(B20)</f>
        <v/>
      </c>
      <c r="B20" s="37" t="n">
        <v>45676</v>
      </c>
      <c r="C20">
        <f>TEXT(B20,"mmm")</f>
        <v/>
      </c>
      <c r="D20">
        <f>MONTH(B20)</f>
        <v/>
      </c>
      <c r="E20">
        <f>ROUNDUP(MONTH(B20)/3,0)</f>
        <v/>
      </c>
      <c r="F20">
        <f>YEAR(B20)</f>
        <v/>
      </c>
    </row>
    <row r="21">
      <c r="A21">
        <f>INT(B21)</f>
        <v/>
      </c>
      <c r="B21" s="37" t="n">
        <v>45677</v>
      </c>
      <c r="C21">
        <f>TEXT(B21,"mmm")</f>
        <v/>
      </c>
      <c r="D21">
        <f>MONTH(B21)</f>
        <v/>
      </c>
      <c r="E21">
        <f>ROUNDUP(MONTH(B21)/3,0)</f>
        <v/>
      </c>
      <c r="F21">
        <f>YEAR(B21)</f>
        <v/>
      </c>
    </row>
    <row r="22">
      <c r="A22">
        <f>INT(B22)</f>
        <v/>
      </c>
      <c r="B22" s="37" t="n">
        <v>45678</v>
      </c>
      <c r="C22">
        <f>TEXT(B22,"mmm")</f>
        <v/>
      </c>
      <c r="D22">
        <f>MONTH(B22)</f>
        <v/>
      </c>
      <c r="E22">
        <f>ROUNDUP(MONTH(B22)/3,0)</f>
        <v/>
      </c>
      <c r="F22">
        <f>YEAR(B22)</f>
        <v/>
      </c>
    </row>
    <row r="23">
      <c r="A23">
        <f>INT(B23)</f>
        <v/>
      </c>
      <c r="B23" s="37" t="n">
        <v>45679</v>
      </c>
      <c r="C23">
        <f>TEXT(B23,"mmm")</f>
        <v/>
      </c>
      <c r="D23">
        <f>MONTH(B23)</f>
        <v/>
      </c>
      <c r="E23">
        <f>ROUNDUP(MONTH(B23)/3,0)</f>
        <v/>
      </c>
      <c r="F23">
        <f>YEAR(B23)</f>
        <v/>
      </c>
    </row>
    <row r="24">
      <c r="A24">
        <f>INT(B24)</f>
        <v/>
      </c>
      <c r="B24" s="37" t="n">
        <v>45680</v>
      </c>
      <c r="C24">
        <f>TEXT(B24,"mmm")</f>
        <v/>
      </c>
      <c r="D24">
        <f>MONTH(B24)</f>
        <v/>
      </c>
      <c r="E24">
        <f>ROUNDUP(MONTH(B24)/3,0)</f>
        <v/>
      </c>
      <c r="F24">
        <f>YEAR(B24)</f>
        <v/>
      </c>
    </row>
    <row r="25">
      <c r="A25">
        <f>INT(B25)</f>
        <v/>
      </c>
      <c r="B25" s="37" t="n">
        <v>45681</v>
      </c>
      <c r="C25">
        <f>TEXT(B25,"mmm")</f>
        <v/>
      </c>
      <c r="D25">
        <f>MONTH(B25)</f>
        <v/>
      </c>
      <c r="E25">
        <f>ROUNDUP(MONTH(B25)/3,0)</f>
        <v/>
      </c>
      <c r="F25">
        <f>YEAR(B25)</f>
        <v/>
      </c>
    </row>
    <row r="26">
      <c r="A26">
        <f>INT(B26)</f>
        <v/>
      </c>
      <c r="B26" s="37" t="n">
        <v>45682</v>
      </c>
      <c r="C26">
        <f>TEXT(B26,"mmm")</f>
        <v/>
      </c>
      <c r="D26">
        <f>MONTH(B26)</f>
        <v/>
      </c>
      <c r="E26">
        <f>ROUNDUP(MONTH(B26)/3,0)</f>
        <v/>
      </c>
      <c r="F26">
        <f>YEAR(B26)</f>
        <v/>
      </c>
    </row>
    <row r="27">
      <c r="A27">
        <f>INT(B27)</f>
        <v/>
      </c>
      <c r="B27" s="37" t="n">
        <v>45683</v>
      </c>
      <c r="C27">
        <f>TEXT(B27,"mmm")</f>
        <v/>
      </c>
      <c r="D27">
        <f>MONTH(B27)</f>
        <v/>
      </c>
      <c r="E27">
        <f>ROUNDUP(MONTH(B27)/3,0)</f>
        <v/>
      </c>
      <c r="F27">
        <f>YEAR(B27)</f>
        <v/>
      </c>
    </row>
    <row r="28">
      <c r="A28">
        <f>INT(B28)</f>
        <v/>
      </c>
      <c r="B28" s="37" t="n">
        <v>45684</v>
      </c>
      <c r="C28">
        <f>TEXT(B28,"mmm")</f>
        <v/>
      </c>
      <c r="D28">
        <f>MONTH(B28)</f>
        <v/>
      </c>
      <c r="E28">
        <f>ROUNDUP(MONTH(B28)/3,0)</f>
        <v/>
      </c>
      <c r="F28">
        <f>YEAR(B28)</f>
        <v/>
      </c>
    </row>
    <row r="29">
      <c r="A29">
        <f>INT(B29)</f>
        <v/>
      </c>
      <c r="B29" s="37" t="n">
        <v>45685</v>
      </c>
      <c r="C29">
        <f>TEXT(B29,"mmm")</f>
        <v/>
      </c>
      <c r="D29">
        <f>MONTH(B29)</f>
        <v/>
      </c>
      <c r="E29">
        <f>ROUNDUP(MONTH(B29)/3,0)</f>
        <v/>
      </c>
      <c r="F29">
        <f>YEAR(B29)</f>
        <v/>
      </c>
    </row>
    <row r="30">
      <c r="A30">
        <f>INT(B30)</f>
        <v/>
      </c>
      <c r="B30" s="37" t="n">
        <v>45686</v>
      </c>
      <c r="C30">
        <f>TEXT(B30,"mmm")</f>
        <v/>
      </c>
      <c r="D30">
        <f>MONTH(B30)</f>
        <v/>
      </c>
      <c r="E30">
        <f>ROUNDUP(MONTH(B30)/3,0)</f>
        <v/>
      </c>
      <c r="F30">
        <f>YEAR(B30)</f>
        <v/>
      </c>
    </row>
    <row r="31">
      <c r="A31">
        <f>INT(B31)</f>
        <v/>
      </c>
      <c r="B31" s="37" t="n">
        <v>45687</v>
      </c>
      <c r="C31">
        <f>TEXT(B31,"mmm")</f>
        <v/>
      </c>
      <c r="D31">
        <f>MONTH(B31)</f>
        <v/>
      </c>
      <c r="E31">
        <f>ROUNDUP(MONTH(B31)/3,0)</f>
        <v/>
      </c>
      <c r="F31">
        <f>YEAR(B31)</f>
        <v/>
      </c>
    </row>
    <row r="32">
      <c r="A32">
        <f>INT(B32)</f>
        <v/>
      </c>
      <c r="B32" s="37" t="n">
        <v>45688</v>
      </c>
      <c r="C32">
        <f>TEXT(B32,"mmm")</f>
        <v/>
      </c>
      <c r="D32">
        <f>MONTH(B32)</f>
        <v/>
      </c>
      <c r="E32">
        <f>ROUNDUP(MONTH(B32)/3,0)</f>
        <v/>
      </c>
      <c r="F32">
        <f>YEAR(B32)</f>
        <v/>
      </c>
    </row>
    <row r="33">
      <c r="A33">
        <f>INT(B33)</f>
        <v/>
      </c>
      <c r="B33" s="37" t="n">
        <v>45689</v>
      </c>
      <c r="C33">
        <f>TEXT(B33,"mmm")</f>
        <v/>
      </c>
      <c r="D33">
        <f>MONTH(B33)</f>
        <v/>
      </c>
      <c r="E33">
        <f>ROUNDUP(MONTH(B33)/3,0)</f>
        <v/>
      </c>
      <c r="F33">
        <f>YEAR(B33)</f>
        <v/>
      </c>
    </row>
    <row r="34">
      <c r="A34">
        <f>INT(B34)</f>
        <v/>
      </c>
      <c r="B34" s="37" t="n">
        <v>45690</v>
      </c>
      <c r="C34">
        <f>TEXT(B34,"mmm")</f>
        <v/>
      </c>
      <c r="D34">
        <f>MONTH(B34)</f>
        <v/>
      </c>
      <c r="E34">
        <f>ROUNDUP(MONTH(B34)/3,0)</f>
        <v/>
      </c>
      <c r="F34">
        <f>YEAR(B34)</f>
        <v/>
      </c>
    </row>
    <row r="35">
      <c r="A35">
        <f>INT(B35)</f>
        <v/>
      </c>
      <c r="B35" s="37" t="n">
        <v>45691</v>
      </c>
      <c r="C35">
        <f>TEXT(B35,"mmm")</f>
        <v/>
      </c>
      <c r="D35">
        <f>MONTH(B35)</f>
        <v/>
      </c>
      <c r="E35">
        <f>ROUNDUP(MONTH(B35)/3,0)</f>
        <v/>
      </c>
      <c r="F35">
        <f>YEAR(B35)</f>
        <v/>
      </c>
    </row>
    <row r="36">
      <c r="A36">
        <f>INT(B36)</f>
        <v/>
      </c>
      <c r="B36" s="37" t="n">
        <v>45692</v>
      </c>
      <c r="C36">
        <f>TEXT(B36,"mmm")</f>
        <v/>
      </c>
      <c r="D36">
        <f>MONTH(B36)</f>
        <v/>
      </c>
      <c r="E36">
        <f>ROUNDUP(MONTH(B36)/3,0)</f>
        <v/>
      </c>
      <c r="F36">
        <f>YEAR(B36)</f>
        <v/>
      </c>
    </row>
    <row r="37">
      <c r="A37">
        <f>INT(B37)</f>
        <v/>
      </c>
      <c r="B37" s="37" t="n">
        <v>45693</v>
      </c>
      <c r="C37">
        <f>TEXT(B37,"mmm")</f>
        <v/>
      </c>
      <c r="D37">
        <f>MONTH(B37)</f>
        <v/>
      </c>
      <c r="E37">
        <f>ROUNDUP(MONTH(B37)/3,0)</f>
        <v/>
      </c>
      <c r="F37">
        <f>YEAR(B37)</f>
        <v/>
      </c>
    </row>
    <row r="38">
      <c r="A38">
        <f>INT(B38)</f>
        <v/>
      </c>
      <c r="B38" s="37" t="n">
        <v>45694</v>
      </c>
      <c r="C38">
        <f>TEXT(B38,"mmm")</f>
        <v/>
      </c>
      <c r="D38">
        <f>MONTH(B38)</f>
        <v/>
      </c>
      <c r="E38">
        <f>ROUNDUP(MONTH(B38)/3,0)</f>
        <v/>
      </c>
      <c r="F38">
        <f>YEAR(B38)</f>
        <v/>
      </c>
    </row>
    <row r="39">
      <c r="A39">
        <f>INT(B39)</f>
        <v/>
      </c>
      <c r="B39" s="37" t="n">
        <v>45695</v>
      </c>
      <c r="C39">
        <f>TEXT(B39,"mmm")</f>
        <v/>
      </c>
      <c r="D39">
        <f>MONTH(B39)</f>
        <v/>
      </c>
      <c r="E39">
        <f>ROUNDUP(MONTH(B39)/3,0)</f>
        <v/>
      </c>
      <c r="F39">
        <f>YEAR(B39)</f>
        <v/>
      </c>
    </row>
    <row r="40">
      <c r="A40">
        <f>INT(B40)</f>
        <v/>
      </c>
      <c r="B40" s="37" t="n">
        <v>45696</v>
      </c>
      <c r="C40">
        <f>TEXT(B40,"mmm")</f>
        <v/>
      </c>
      <c r="D40">
        <f>MONTH(B40)</f>
        <v/>
      </c>
      <c r="E40">
        <f>ROUNDUP(MONTH(B40)/3,0)</f>
        <v/>
      </c>
      <c r="F40">
        <f>YEAR(B40)</f>
        <v/>
      </c>
    </row>
    <row r="41">
      <c r="A41">
        <f>INT(B41)</f>
        <v/>
      </c>
      <c r="B41" s="37" t="n">
        <v>45697</v>
      </c>
      <c r="C41">
        <f>TEXT(B41,"mmm")</f>
        <v/>
      </c>
      <c r="D41">
        <f>MONTH(B41)</f>
        <v/>
      </c>
      <c r="E41">
        <f>ROUNDUP(MONTH(B41)/3,0)</f>
        <v/>
      </c>
      <c r="F41">
        <f>YEAR(B41)</f>
        <v/>
      </c>
    </row>
    <row r="42">
      <c r="A42">
        <f>INT(B42)</f>
        <v/>
      </c>
      <c r="B42" s="37" t="n">
        <v>45698</v>
      </c>
      <c r="C42">
        <f>TEXT(B42,"mmm")</f>
        <v/>
      </c>
      <c r="D42">
        <f>MONTH(B42)</f>
        <v/>
      </c>
      <c r="E42">
        <f>ROUNDUP(MONTH(B42)/3,0)</f>
        <v/>
      </c>
      <c r="F42">
        <f>YEAR(B42)</f>
        <v/>
      </c>
    </row>
    <row r="43">
      <c r="A43">
        <f>INT(B43)</f>
        <v/>
      </c>
      <c r="B43" s="37" t="n">
        <v>45699</v>
      </c>
      <c r="C43">
        <f>TEXT(B43,"mmm")</f>
        <v/>
      </c>
      <c r="D43">
        <f>MONTH(B43)</f>
        <v/>
      </c>
      <c r="E43">
        <f>ROUNDUP(MONTH(B43)/3,0)</f>
        <v/>
      </c>
      <c r="F43">
        <f>YEAR(B43)</f>
        <v/>
      </c>
    </row>
    <row r="44">
      <c r="A44">
        <f>INT(B44)</f>
        <v/>
      </c>
      <c r="B44" s="37" t="n">
        <v>45700</v>
      </c>
      <c r="C44">
        <f>TEXT(B44,"mmm")</f>
        <v/>
      </c>
      <c r="D44">
        <f>MONTH(B44)</f>
        <v/>
      </c>
      <c r="E44">
        <f>ROUNDUP(MONTH(B44)/3,0)</f>
        <v/>
      </c>
      <c r="F44">
        <f>YEAR(B44)</f>
        <v/>
      </c>
    </row>
    <row r="45">
      <c r="A45">
        <f>INT(B45)</f>
        <v/>
      </c>
      <c r="B45" s="37" t="n">
        <v>45701</v>
      </c>
      <c r="C45">
        <f>TEXT(B45,"mmm")</f>
        <v/>
      </c>
      <c r="D45">
        <f>MONTH(B45)</f>
        <v/>
      </c>
      <c r="E45">
        <f>ROUNDUP(MONTH(B45)/3,0)</f>
        <v/>
      </c>
      <c r="F45">
        <f>YEAR(B45)</f>
        <v/>
      </c>
    </row>
    <row r="46">
      <c r="A46">
        <f>INT(B46)</f>
        <v/>
      </c>
      <c r="B46" s="37" t="n">
        <v>45702</v>
      </c>
      <c r="C46">
        <f>TEXT(B46,"mmm")</f>
        <v/>
      </c>
      <c r="D46">
        <f>MONTH(B46)</f>
        <v/>
      </c>
      <c r="E46">
        <f>ROUNDUP(MONTH(B46)/3,0)</f>
        <v/>
      </c>
      <c r="F46">
        <f>YEAR(B46)</f>
        <v/>
      </c>
    </row>
    <row r="47">
      <c r="A47">
        <f>INT(B47)</f>
        <v/>
      </c>
      <c r="B47" s="37" t="n">
        <v>45703</v>
      </c>
      <c r="C47">
        <f>TEXT(B47,"mmm")</f>
        <v/>
      </c>
      <c r="D47">
        <f>MONTH(B47)</f>
        <v/>
      </c>
      <c r="E47">
        <f>ROUNDUP(MONTH(B47)/3,0)</f>
        <v/>
      </c>
      <c r="F47">
        <f>YEAR(B47)</f>
        <v/>
      </c>
    </row>
    <row r="48">
      <c r="A48">
        <f>INT(B48)</f>
        <v/>
      </c>
      <c r="B48" s="37" t="n">
        <v>45704</v>
      </c>
      <c r="C48">
        <f>TEXT(B48,"mmm")</f>
        <v/>
      </c>
      <c r="D48">
        <f>MONTH(B48)</f>
        <v/>
      </c>
      <c r="E48">
        <f>ROUNDUP(MONTH(B48)/3,0)</f>
        <v/>
      </c>
      <c r="F48">
        <f>YEAR(B48)</f>
        <v/>
      </c>
    </row>
    <row r="49">
      <c r="A49">
        <f>INT(B49)</f>
        <v/>
      </c>
      <c r="B49" s="37" t="n">
        <v>45705</v>
      </c>
      <c r="C49">
        <f>TEXT(B49,"mmm")</f>
        <v/>
      </c>
      <c r="D49">
        <f>MONTH(B49)</f>
        <v/>
      </c>
      <c r="E49">
        <f>ROUNDUP(MONTH(B49)/3,0)</f>
        <v/>
      </c>
      <c r="F49">
        <f>YEAR(B49)</f>
        <v/>
      </c>
    </row>
    <row r="50">
      <c r="A50">
        <f>INT(B50)</f>
        <v/>
      </c>
      <c r="B50" s="37" t="n">
        <v>45706</v>
      </c>
      <c r="C50">
        <f>TEXT(B50,"mmm")</f>
        <v/>
      </c>
      <c r="D50">
        <f>MONTH(B50)</f>
        <v/>
      </c>
      <c r="E50">
        <f>ROUNDUP(MONTH(B50)/3,0)</f>
        <v/>
      </c>
      <c r="F50">
        <f>YEAR(B50)</f>
        <v/>
      </c>
    </row>
    <row r="51">
      <c r="A51">
        <f>INT(B51)</f>
        <v/>
      </c>
      <c r="B51" s="37" t="n">
        <v>45707</v>
      </c>
      <c r="C51">
        <f>TEXT(B51,"mmm")</f>
        <v/>
      </c>
      <c r="D51">
        <f>MONTH(B51)</f>
        <v/>
      </c>
      <c r="E51">
        <f>ROUNDUP(MONTH(B51)/3,0)</f>
        <v/>
      </c>
      <c r="F51">
        <f>YEAR(B51)</f>
        <v/>
      </c>
    </row>
    <row r="52">
      <c r="A52">
        <f>INT(B52)</f>
        <v/>
      </c>
      <c r="B52" s="37" t="n">
        <v>45708</v>
      </c>
      <c r="C52">
        <f>TEXT(B52,"mmm")</f>
        <v/>
      </c>
      <c r="D52">
        <f>MONTH(B52)</f>
        <v/>
      </c>
      <c r="E52">
        <f>ROUNDUP(MONTH(B52)/3,0)</f>
        <v/>
      </c>
      <c r="F52">
        <f>YEAR(B52)</f>
        <v/>
      </c>
    </row>
    <row r="53">
      <c r="A53">
        <f>INT(B53)</f>
        <v/>
      </c>
      <c r="B53" s="37" t="n">
        <v>45709</v>
      </c>
      <c r="C53">
        <f>TEXT(B53,"mmm")</f>
        <v/>
      </c>
      <c r="D53">
        <f>MONTH(B53)</f>
        <v/>
      </c>
      <c r="E53">
        <f>ROUNDUP(MONTH(B53)/3,0)</f>
        <v/>
      </c>
      <c r="F53">
        <f>YEAR(B53)</f>
        <v/>
      </c>
    </row>
    <row r="54">
      <c r="A54">
        <f>INT(B54)</f>
        <v/>
      </c>
      <c r="B54" s="37" t="n">
        <v>45710</v>
      </c>
      <c r="C54">
        <f>TEXT(B54,"mmm")</f>
        <v/>
      </c>
      <c r="D54">
        <f>MONTH(B54)</f>
        <v/>
      </c>
      <c r="E54">
        <f>ROUNDUP(MONTH(B54)/3,0)</f>
        <v/>
      </c>
      <c r="F54">
        <f>YEAR(B54)</f>
        <v/>
      </c>
    </row>
    <row r="55">
      <c r="A55">
        <f>INT(B55)</f>
        <v/>
      </c>
      <c r="B55" s="37" t="n">
        <v>45711</v>
      </c>
      <c r="C55">
        <f>TEXT(B55,"mmm")</f>
        <v/>
      </c>
      <c r="D55">
        <f>MONTH(B55)</f>
        <v/>
      </c>
      <c r="E55">
        <f>ROUNDUP(MONTH(B55)/3,0)</f>
        <v/>
      </c>
      <c r="F55">
        <f>YEAR(B55)</f>
        <v/>
      </c>
    </row>
    <row r="56">
      <c r="A56">
        <f>INT(B56)</f>
        <v/>
      </c>
      <c r="B56" s="37" t="n">
        <v>45712</v>
      </c>
      <c r="C56">
        <f>TEXT(B56,"mmm")</f>
        <v/>
      </c>
      <c r="D56">
        <f>MONTH(B56)</f>
        <v/>
      </c>
      <c r="E56">
        <f>ROUNDUP(MONTH(B56)/3,0)</f>
        <v/>
      </c>
      <c r="F56">
        <f>YEAR(B56)</f>
        <v/>
      </c>
    </row>
    <row r="57">
      <c r="A57">
        <f>INT(B57)</f>
        <v/>
      </c>
      <c r="B57" s="37" t="n">
        <v>45713</v>
      </c>
      <c r="C57">
        <f>TEXT(B57,"mmm")</f>
        <v/>
      </c>
      <c r="D57">
        <f>MONTH(B57)</f>
        <v/>
      </c>
      <c r="E57">
        <f>ROUNDUP(MONTH(B57)/3,0)</f>
        <v/>
      </c>
      <c r="F57">
        <f>YEAR(B57)</f>
        <v/>
      </c>
    </row>
    <row r="58">
      <c r="A58">
        <f>INT(B58)</f>
        <v/>
      </c>
      <c r="B58" s="37" t="n">
        <v>45714</v>
      </c>
      <c r="C58">
        <f>TEXT(B58,"mmm")</f>
        <v/>
      </c>
      <c r="D58">
        <f>MONTH(B58)</f>
        <v/>
      </c>
      <c r="E58">
        <f>ROUNDUP(MONTH(B58)/3,0)</f>
        <v/>
      </c>
      <c r="F58">
        <f>YEAR(B58)</f>
        <v/>
      </c>
    </row>
    <row r="59">
      <c r="A59">
        <f>INT(B59)</f>
        <v/>
      </c>
      <c r="B59" s="37" t="n">
        <v>45715</v>
      </c>
      <c r="C59">
        <f>TEXT(B59,"mmm")</f>
        <v/>
      </c>
      <c r="D59">
        <f>MONTH(B59)</f>
        <v/>
      </c>
      <c r="E59">
        <f>ROUNDUP(MONTH(B59)/3,0)</f>
        <v/>
      </c>
      <c r="F59">
        <f>YEAR(B59)</f>
        <v/>
      </c>
    </row>
    <row r="60">
      <c r="A60">
        <f>INT(B60)</f>
        <v/>
      </c>
      <c r="B60" s="37" t="n">
        <v>45716</v>
      </c>
      <c r="C60">
        <f>TEXT(B60,"mmm")</f>
        <v/>
      </c>
      <c r="D60">
        <f>MONTH(B60)</f>
        <v/>
      </c>
      <c r="E60">
        <f>ROUNDUP(MONTH(B60)/3,0)</f>
        <v/>
      </c>
      <c r="F60">
        <f>YEAR(B60)</f>
        <v/>
      </c>
    </row>
    <row r="61">
      <c r="A61">
        <f>INT(B61)</f>
        <v/>
      </c>
      <c r="B61" s="37" t="n">
        <v>45717</v>
      </c>
      <c r="C61">
        <f>TEXT(B61,"mmm")</f>
        <v/>
      </c>
      <c r="D61">
        <f>MONTH(B61)</f>
        <v/>
      </c>
      <c r="E61">
        <f>ROUNDUP(MONTH(B61)/3,0)</f>
        <v/>
      </c>
      <c r="F61">
        <f>YEAR(B61)</f>
        <v/>
      </c>
    </row>
    <row r="62">
      <c r="A62">
        <f>INT(B62)</f>
        <v/>
      </c>
      <c r="B62" s="37" t="n">
        <v>45718</v>
      </c>
      <c r="C62">
        <f>TEXT(B62,"mmm")</f>
        <v/>
      </c>
      <c r="D62">
        <f>MONTH(B62)</f>
        <v/>
      </c>
      <c r="E62">
        <f>ROUNDUP(MONTH(B62)/3,0)</f>
        <v/>
      </c>
      <c r="F62">
        <f>YEAR(B62)</f>
        <v/>
      </c>
    </row>
    <row r="63">
      <c r="A63">
        <f>INT(B63)</f>
        <v/>
      </c>
      <c r="B63" s="37" t="n">
        <v>45719</v>
      </c>
      <c r="C63">
        <f>TEXT(B63,"mmm")</f>
        <v/>
      </c>
      <c r="D63">
        <f>MONTH(B63)</f>
        <v/>
      </c>
      <c r="E63">
        <f>ROUNDUP(MONTH(B63)/3,0)</f>
        <v/>
      </c>
      <c r="F63">
        <f>YEAR(B63)</f>
        <v/>
      </c>
    </row>
    <row r="64">
      <c r="A64">
        <f>INT(B64)</f>
        <v/>
      </c>
      <c r="B64" s="37" t="n">
        <v>45720</v>
      </c>
      <c r="C64">
        <f>TEXT(B64,"mmm")</f>
        <v/>
      </c>
      <c r="D64">
        <f>MONTH(B64)</f>
        <v/>
      </c>
      <c r="E64">
        <f>ROUNDUP(MONTH(B64)/3,0)</f>
        <v/>
      </c>
      <c r="F64">
        <f>YEAR(B64)</f>
        <v/>
      </c>
    </row>
    <row r="65">
      <c r="A65">
        <f>INT(B65)</f>
        <v/>
      </c>
      <c r="B65" s="37" t="n">
        <v>45721</v>
      </c>
      <c r="C65">
        <f>TEXT(B65,"mmm")</f>
        <v/>
      </c>
      <c r="D65">
        <f>MONTH(B65)</f>
        <v/>
      </c>
      <c r="E65">
        <f>ROUNDUP(MONTH(B65)/3,0)</f>
        <v/>
      </c>
      <c r="F65">
        <f>YEAR(B65)</f>
        <v/>
      </c>
    </row>
    <row r="66">
      <c r="A66">
        <f>INT(B66)</f>
        <v/>
      </c>
      <c r="B66" s="37" t="n">
        <v>45722</v>
      </c>
      <c r="C66">
        <f>TEXT(B66,"mmm")</f>
        <v/>
      </c>
      <c r="D66">
        <f>MONTH(B66)</f>
        <v/>
      </c>
      <c r="E66">
        <f>ROUNDUP(MONTH(B66)/3,0)</f>
        <v/>
      </c>
      <c r="F66">
        <f>YEAR(B66)</f>
        <v/>
      </c>
    </row>
    <row r="67">
      <c r="A67">
        <f>INT(B67)</f>
        <v/>
      </c>
      <c r="B67" s="37" t="n">
        <v>45723</v>
      </c>
      <c r="C67">
        <f>TEXT(B67,"mmm")</f>
        <v/>
      </c>
      <c r="D67">
        <f>MONTH(B67)</f>
        <v/>
      </c>
      <c r="E67">
        <f>ROUNDUP(MONTH(B67)/3,0)</f>
        <v/>
      </c>
      <c r="F67">
        <f>YEAR(B67)</f>
        <v/>
      </c>
    </row>
    <row r="68">
      <c r="A68">
        <f>INT(B68)</f>
        <v/>
      </c>
      <c r="B68" s="37" t="n">
        <v>45724</v>
      </c>
      <c r="C68">
        <f>TEXT(B68,"mmm")</f>
        <v/>
      </c>
      <c r="D68">
        <f>MONTH(B68)</f>
        <v/>
      </c>
      <c r="E68">
        <f>ROUNDUP(MONTH(B68)/3,0)</f>
        <v/>
      </c>
      <c r="F68">
        <f>YEAR(B68)</f>
        <v/>
      </c>
    </row>
    <row r="69">
      <c r="A69">
        <f>INT(B69)</f>
        <v/>
      </c>
      <c r="B69" s="37" t="n">
        <v>45725</v>
      </c>
      <c r="C69">
        <f>TEXT(B69,"mmm")</f>
        <v/>
      </c>
      <c r="D69">
        <f>MONTH(B69)</f>
        <v/>
      </c>
      <c r="E69">
        <f>ROUNDUP(MONTH(B69)/3,0)</f>
        <v/>
      </c>
      <c r="F69">
        <f>YEAR(B69)</f>
        <v/>
      </c>
    </row>
    <row r="70">
      <c r="A70">
        <f>INT(B70)</f>
        <v/>
      </c>
      <c r="B70" s="37" t="n">
        <v>45726</v>
      </c>
      <c r="C70">
        <f>TEXT(B70,"mmm")</f>
        <v/>
      </c>
      <c r="D70">
        <f>MONTH(B70)</f>
        <v/>
      </c>
      <c r="E70">
        <f>ROUNDUP(MONTH(B70)/3,0)</f>
        <v/>
      </c>
      <c r="F70">
        <f>YEAR(B70)</f>
        <v/>
      </c>
    </row>
    <row r="71">
      <c r="A71">
        <f>INT(B71)</f>
        <v/>
      </c>
      <c r="B71" s="37" t="n">
        <v>45727</v>
      </c>
      <c r="C71">
        <f>TEXT(B71,"mmm")</f>
        <v/>
      </c>
      <c r="D71">
        <f>MONTH(B71)</f>
        <v/>
      </c>
      <c r="E71">
        <f>ROUNDUP(MONTH(B71)/3,0)</f>
        <v/>
      </c>
      <c r="F71">
        <f>YEAR(B71)</f>
        <v/>
      </c>
    </row>
    <row r="72">
      <c r="A72">
        <f>INT(B72)</f>
        <v/>
      </c>
      <c r="B72" s="37" t="n">
        <v>45728</v>
      </c>
      <c r="C72">
        <f>TEXT(B72,"mmm")</f>
        <v/>
      </c>
      <c r="D72">
        <f>MONTH(B72)</f>
        <v/>
      </c>
      <c r="E72">
        <f>ROUNDUP(MONTH(B72)/3,0)</f>
        <v/>
      </c>
      <c r="F72">
        <f>YEAR(B72)</f>
        <v/>
      </c>
    </row>
    <row r="73">
      <c r="A73">
        <f>INT(B73)</f>
        <v/>
      </c>
      <c r="B73" s="37" t="n">
        <v>45729</v>
      </c>
      <c r="C73">
        <f>TEXT(B73,"mmm")</f>
        <v/>
      </c>
      <c r="D73">
        <f>MONTH(B73)</f>
        <v/>
      </c>
      <c r="E73">
        <f>ROUNDUP(MONTH(B73)/3,0)</f>
        <v/>
      </c>
      <c r="F73">
        <f>YEAR(B73)</f>
        <v/>
      </c>
    </row>
    <row r="74">
      <c r="A74">
        <f>INT(B74)</f>
        <v/>
      </c>
      <c r="B74" s="37" t="n">
        <v>45730</v>
      </c>
      <c r="C74">
        <f>TEXT(B74,"mmm")</f>
        <v/>
      </c>
      <c r="D74">
        <f>MONTH(B74)</f>
        <v/>
      </c>
      <c r="E74">
        <f>ROUNDUP(MONTH(B74)/3,0)</f>
        <v/>
      </c>
      <c r="F74">
        <f>YEAR(B74)</f>
        <v/>
      </c>
    </row>
    <row r="75">
      <c r="A75">
        <f>INT(B75)</f>
        <v/>
      </c>
      <c r="B75" s="37" t="n">
        <v>45731</v>
      </c>
      <c r="C75">
        <f>TEXT(B75,"mmm")</f>
        <v/>
      </c>
      <c r="D75">
        <f>MONTH(B75)</f>
        <v/>
      </c>
      <c r="E75">
        <f>ROUNDUP(MONTH(B75)/3,0)</f>
        <v/>
      </c>
      <c r="F75">
        <f>YEAR(B75)</f>
        <v/>
      </c>
    </row>
    <row r="76">
      <c r="A76">
        <f>INT(B76)</f>
        <v/>
      </c>
      <c r="B76" s="37" t="n">
        <v>45732</v>
      </c>
      <c r="C76">
        <f>TEXT(B76,"mmm")</f>
        <v/>
      </c>
      <c r="D76">
        <f>MONTH(B76)</f>
        <v/>
      </c>
      <c r="E76">
        <f>ROUNDUP(MONTH(B76)/3,0)</f>
        <v/>
      </c>
      <c r="F76">
        <f>YEAR(B76)</f>
        <v/>
      </c>
    </row>
    <row r="77">
      <c r="A77">
        <f>INT(B77)</f>
        <v/>
      </c>
      <c r="B77" s="37" t="n">
        <v>45733</v>
      </c>
      <c r="C77">
        <f>TEXT(B77,"mmm")</f>
        <v/>
      </c>
      <c r="D77">
        <f>MONTH(B77)</f>
        <v/>
      </c>
      <c r="E77">
        <f>ROUNDUP(MONTH(B77)/3,0)</f>
        <v/>
      </c>
      <c r="F77">
        <f>YEAR(B77)</f>
        <v/>
      </c>
    </row>
    <row r="78">
      <c r="A78">
        <f>INT(B78)</f>
        <v/>
      </c>
      <c r="B78" s="37" t="n">
        <v>45734</v>
      </c>
      <c r="C78">
        <f>TEXT(B78,"mmm")</f>
        <v/>
      </c>
      <c r="D78">
        <f>MONTH(B78)</f>
        <v/>
      </c>
      <c r="E78">
        <f>ROUNDUP(MONTH(B78)/3,0)</f>
        <v/>
      </c>
      <c r="F78">
        <f>YEAR(B78)</f>
        <v/>
      </c>
    </row>
    <row r="79">
      <c r="A79">
        <f>INT(B79)</f>
        <v/>
      </c>
      <c r="B79" s="37" t="n">
        <v>45735</v>
      </c>
      <c r="C79">
        <f>TEXT(B79,"mmm")</f>
        <v/>
      </c>
      <c r="D79">
        <f>MONTH(B79)</f>
        <v/>
      </c>
      <c r="E79">
        <f>ROUNDUP(MONTH(B79)/3,0)</f>
        <v/>
      </c>
      <c r="F79">
        <f>YEAR(B79)</f>
        <v/>
      </c>
    </row>
    <row r="80">
      <c r="A80">
        <f>INT(B80)</f>
        <v/>
      </c>
      <c r="B80" s="37" t="n">
        <v>45736</v>
      </c>
      <c r="C80">
        <f>TEXT(B80,"mmm")</f>
        <v/>
      </c>
      <c r="D80">
        <f>MONTH(B80)</f>
        <v/>
      </c>
      <c r="E80">
        <f>ROUNDUP(MONTH(B80)/3,0)</f>
        <v/>
      </c>
      <c r="F80">
        <f>YEAR(B80)</f>
        <v/>
      </c>
    </row>
    <row r="81">
      <c r="A81">
        <f>INT(B81)</f>
        <v/>
      </c>
      <c r="B81" s="37" t="n">
        <v>45737</v>
      </c>
      <c r="C81">
        <f>TEXT(B81,"mmm")</f>
        <v/>
      </c>
      <c r="D81">
        <f>MONTH(B81)</f>
        <v/>
      </c>
      <c r="E81">
        <f>ROUNDUP(MONTH(B81)/3,0)</f>
        <v/>
      </c>
      <c r="F81">
        <f>YEAR(B81)</f>
        <v/>
      </c>
    </row>
    <row r="82">
      <c r="A82">
        <f>INT(B82)</f>
        <v/>
      </c>
      <c r="B82" s="37" t="n">
        <v>45738</v>
      </c>
      <c r="C82">
        <f>TEXT(B82,"mmm")</f>
        <v/>
      </c>
      <c r="D82">
        <f>MONTH(B82)</f>
        <v/>
      </c>
      <c r="E82">
        <f>ROUNDUP(MONTH(B82)/3,0)</f>
        <v/>
      </c>
      <c r="F82">
        <f>YEAR(B82)</f>
        <v/>
      </c>
    </row>
    <row r="83">
      <c r="A83">
        <f>INT(B83)</f>
        <v/>
      </c>
      <c r="B83" s="37" t="n">
        <v>45739</v>
      </c>
      <c r="C83">
        <f>TEXT(B83,"mmm")</f>
        <v/>
      </c>
      <c r="D83">
        <f>MONTH(B83)</f>
        <v/>
      </c>
      <c r="E83">
        <f>ROUNDUP(MONTH(B83)/3,0)</f>
        <v/>
      </c>
      <c r="F83">
        <f>YEAR(B83)</f>
        <v/>
      </c>
    </row>
    <row r="84">
      <c r="A84">
        <f>INT(B84)</f>
        <v/>
      </c>
      <c r="B84" s="37" t="n">
        <v>45740</v>
      </c>
      <c r="C84">
        <f>TEXT(B84,"mmm")</f>
        <v/>
      </c>
      <c r="D84">
        <f>MONTH(B84)</f>
        <v/>
      </c>
      <c r="E84">
        <f>ROUNDUP(MONTH(B84)/3,0)</f>
        <v/>
      </c>
      <c r="F84">
        <f>YEAR(B84)</f>
        <v/>
      </c>
    </row>
    <row r="85">
      <c r="A85">
        <f>INT(B85)</f>
        <v/>
      </c>
      <c r="B85" s="37" t="n">
        <v>45741</v>
      </c>
      <c r="C85">
        <f>TEXT(B85,"mmm")</f>
        <v/>
      </c>
      <c r="D85">
        <f>MONTH(B85)</f>
        <v/>
      </c>
      <c r="E85">
        <f>ROUNDUP(MONTH(B85)/3,0)</f>
        <v/>
      </c>
      <c r="F85">
        <f>YEAR(B85)</f>
        <v/>
      </c>
    </row>
    <row r="86">
      <c r="A86">
        <f>INT(B86)</f>
        <v/>
      </c>
      <c r="B86" s="37" t="n">
        <v>45742</v>
      </c>
      <c r="C86">
        <f>TEXT(B86,"mmm")</f>
        <v/>
      </c>
      <c r="D86">
        <f>MONTH(B86)</f>
        <v/>
      </c>
      <c r="E86">
        <f>ROUNDUP(MONTH(B86)/3,0)</f>
        <v/>
      </c>
      <c r="F86">
        <f>YEAR(B86)</f>
        <v/>
      </c>
    </row>
    <row r="87">
      <c r="A87">
        <f>INT(B87)</f>
        <v/>
      </c>
      <c r="B87" s="37" t="n">
        <v>45743</v>
      </c>
      <c r="C87">
        <f>TEXT(B87,"mmm")</f>
        <v/>
      </c>
      <c r="D87">
        <f>MONTH(B87)</f>
        <v/>
      </c>
      <c r="E87">
        <f>ROUNDUP(MONTH(B87)/3,0)</f>
        <v/>
      </c>
      <c r="F87">
        <f>YEAR(B87)</f>
        <v/>
      </c>
    </row>
    <row r="88">
      <c r="A88">
        <f>INT(B88)</f>
        <v/>
      </c>
      <c r="B88" s="37" t="n">
        <v>45744</v>
      </c>
      <c r="C88">
        <f>TEXT(B88,"mmm")</f>
        <v/>
      </c>
      <c r="D88">
        <f>MONTH(B88)</f>
        <v/>
      </c>
      <c r="E88">
        <f>ROUNDUP(MONTH(B88)/3,0)</f>
        <v/>
      </c>
      <c r="F88">
        <f>YEAR(B88)</f>
        <v/>
      </c>
    </row>
    <row r="89">
      <c r="A89">
        <f>INT(B89)</f>
        <v/>
      </c>
      <c r="B89" s="37" t="n">
        <v>45745</v>
      </c>
      <c r="C89">
        <f>TEXT(B89,"mmm")</f>
        <v/>
      </c>
      <c r="D89">
        <f>MONTH(B89)</f>
        <v/>
      </c>
      <c r="E89">
        <f>ROUNDUP(MONTH(B89)/3,0)</f>
        <v/>
      </c>
      <c r="F89">
        <f>YEAR(B89)</f>
        <v/>
      </c>
    </row>
    <row r="90">
      <c r="A90">
        <f>INT(B90)</f>
        <v/>
      </c>
      <c r="B90" s="37" t="n">
        <v>45746</v>
      </c>
      <c r="C90">
        <f>TEXT(B90,"mmm")</f>
        <v/>
      </c>
      <c r="D90">
        <f>MONTH(B90)</f>
        <v/>
      </c>
      <c r="E90">
        <f>ROUNDUP(MONTH(B90)/3,0)</f>
        <v/>
      </c>
      <c r="F90">
        <f>YEAR(B90)</f>
        <v/>
      </c>
    </row>
    <row r="91">
      <c r="A91">
        <f>INT(B91)</f>
        <v/>
      </c>
      <c r="B91" s="37" t="n">
        <v>45747</v>
      </c>
      <c r="C91">
        <f>TEXT(B91,"mmm")</f>
        <v/>
      </c>
      <c r="D91">
        <f>MONTH(B91)</f>
        <v/>
      </c>
      <c r="E91">
        <f>ROUNDUP(MONTH(B91)/3,0)</f>
        <v/>
      </c>
      <c r="F91">
        <f>YEAR(B91)</f>
        <v/>
      </c>
    </row>
    <row r="92">
      <c r="A92">
        <f>INT(B92)</f>
        <v/>
      </c>
      <c r="B92" s="37" t="n">
        <v>45748</v>
      </c>
      <c r="C92">
        <f>TEXT(B92,"mmm")</f>
        <v/>
      </c>
      <c r="D92">
        <f>MONTH(B92)</f>
        <v/>
      </c>
      <c r="E92">
        <f>ROUNDUP(MONTH(B92)/3,0)</f>
        <v/>
      </c>
      <c r="F92">
        <f>YEAR(B92)</f>
        <v/>
      </c>
    </row>
    <row r="93">
      <c r="A93">
        <f>INT(B93)</f>
        <v/>
      </c>
      <c r="B93" s="37" t="n">
        <v>45749</v>
      </c>
      <c r="C93">
        <f>TEXT(B93,"mmm")</f>
        <v/>
      </c>
      <c r="D93">
        <f>MONTH(B93)</f>
        <v/>
      </c>
      <c r="E93">
        <f>ROUNDUP(MONTH(B93)/3,0)</f>
        <v/>
      </c>
      <c r="F93">
        <f>YEAR(B93)</f>
        <v/>
      </c>
    </row>
    <row r="94">
      <c r="A94">
        <f>INT(B94)</f>
        <v/>
      </c>
      <c r="B94" s="37" t="n">
        <v>45750</v>
      </c>
      <c r="C94">
        <f>TEXT(B94,"mmm")</f>
        <v/>
      </c>
      <c r="D94">
        <f>MONTH(B94)</f>
        <v/>
      </c>
      <c r="E94">
        <f>ROUNDUP(MONTH(B94)/3,0)</f>
        <v/>
      </c>
      <c r="F94">
        <f>YEAR(B94)</f>
        <v/>
      </c>
    </row>
    <row r="95">
      <c r="A95">
        <f>INT(B95)</f>
        <v/>
      </c>
      <c r="B95" s="37" t="n">
        <v>45751</v>
      </c>
      <c r="C95">
        <f>TEXT(B95,"mmm")</f>
        <v/>
      </c>
      <c r="D95">
        <f>MONTH(B95)</f>
        <v/>
      </c>
      <c r="E95">
        <f>ROUNDUP(MONTH(B95)/3,0)</f>
        <v/>
      </c>
      <c r="F95">
        <f>YEAR(B95)</f>
        <v/>
      </c>
    </row>
    <row r="96">
      <c r="A96">
        <f>INT(B96)</f>
        <v/>
      </c>
      <c r="B96" s="37" t="n">
        <v>45752</v>
      </c>
      <c r="C96">
        <f>TEXT(B96,"mmm")</f>
        <v/>
      </c>
      <c r="D96">
        <f>MONTH(B96)</f>
        <v/>
      </c>
      <c r="E96">
        <f>ROUNDUP(MONTH(B96)/3,0)</f>
        <v/>
      </c>
      <c r="F96">
        <f>YEAR(B96)</f>
        <v/>
      </c>
    </row>
    <row r="97">
      <c r="A97">
        <f>INT(B97)</f>
        <v/>
      </c>
      <c r="B97" s="37" t="n">
        <v>45753</v>
      </c>
      <c r="C97">
        <f>TEXT(B97,"mmm")</f>
        <v/>
      </c>
      <c r="D97">
        <f>MONTH(B97)</f>
        <v/>
      </c>
      <c r="E97">
        <f>ROUNDUP(MONTH(B97)/3,0)</f>
        <v/>
      </c>
      <c r="F97">
        <f>YEAR(B97)</f>
        <v/>
      </c>
    </row>
    <row r="98">
      <c r="A98">
        <f>INT(B98)</f>
        <v/>
      </c>
      <c r="B98" s="37" t="n">
        <v>45754</v>
      </c>
      <c r="C98">
        <f>TEXT(B98,"mmm")</f>
        <v/>
      </c>
      <c r="D98">
        <f>MONTH(B98)</f>
        <v/>
      </c>
      <c r="E98">
        <f>ROUNDUP(MONTH(B98)/3,0)</f>
        <v/>
      </c>
      <c r="F98">
        <f>YEAR(B98)</f>
        <v/>
      </c>
    </row>
    <row r="99">
      <c r="A99">
        <f>INT(B99)</f>
        <v/>
      </c>
      <c r="B99" s="37" t="n">
        <v>45755</v>
      </c>
      <c r="C99">
        <f>TEXT(B99,"mmm")</f>
        <v/>
      </c>
      <c r="D99">
        <f>MONTH(B99)</f>
        <v/>
      </c>
      <c r="E99">
        <f>ROUNDUP(MONTH(B99)/3,0)</f>
        <v/>
      </c>
      <c r="F99">
        <f>YEAR(B99)</f>
        <v/>
      </c>
    </row>
    <row r="100">
      <c r="A100">
        <f>INT(B100)</f>
        <v/>
      </c>
      <c r="B100" s="37" t="n">
        <v>45756</v>
      </c>
      <c r="C100">
        <f>TEXT(B100,"mmm")</f>
        <v/>
      </c>
      <c r="D100">
        <f>MONTH(B100)</f>
        <v/>
      </c>
      <c r="E100">
        <f>ROUNDUP(MONTH(B100)/3,0)</f>
        <v/>
      </c>
      <c r="F100">
        <f>YEAR(B100)</f>
        <v/>
      </c>
    </row>
    <row r="101">
      <c r="A101">
        <f>INT(B101)</f>
        <v/>
      </c>
      <c r="B101" s="37" t="n">
        <v>45757</v>
      </c>
      <c r="C101">
        <f>TEXT(B101,"mmm")</f>
        <v/>
      </c>
      <c r="D101">
        <f>MONTH(B101)</f>
        <v/>
      </c>
      <c r="E101">
        <f>ROUNDUP(MONTH(B101)/3,0)</f>
        <v/>
      </c>
      <c r="F101">
        <f>YEAR(B101)</f>
        <v/>
      </c>
    </row>
    <row r="102">
      <c r="A102">
        <f>INT(B102)</f>
        <v/>
      </c>
      <c r="B102" s="37" t="n">
        <v>45758</v>
      </c>
      <c r="C102">
        <f>TEXT(B102,"mmm")</f>
        <v/>
      </c>
      <c r="D102">
        <f>MONTH(B102)</f>
        <v/>
      </c>
      <c r="E102">
        <f>ROUNDUP(MONTH(B102)/3,0)</f>
        <v/>
      </c>
      <c r="F102">
        <f>YEAR(B102)</f>
        <v/>
      </c>
    </row>
    <row r="103">
      <c r="A103">
        <f>INT(B103)</f>
        <v/>
      </c>
      <c r="B103" s="37" t="n">
        <v>45759</v>
      </c>
      <c r="C103">
        <f>TEXT(B103,"mmm")</f>
        <v/>
      </c>
      <c r="D103">
        <f>MONTH(B103)</f>
        <v/>
      </c>
      <c r="E103">
        <f>ROUNDUP(MONTH(B103)/3,0)</f>
        <v/>
      </c>
      <c r="F103">
        <f>YEAR(B103)</f>
        <v/>
      </c>
    </row>
    <row r="104">
      <c r="A104">
        <f>INT(B104)</f>
        <v/>
      </c>
      <c r="B104" s="37" t="n">
        <v>45760</v>
      </c>
      <c r="C104">
        <f>TEXT(B104,"mmm")</f>
        <v/>
      </c>
      <c r="D104">
        <f>MONTH(B104)</f>
        <v/>
      </c>
      <c r="E104">
        <f>ROUNDUP(MONTH(B104)/3,0)</f>
        <v/>
      </c>
      <c r="F104">
        <f>YEAR(B104)</f>
        <v/>
      </c>
    </row>
    <row r="105">
      <c r="A105">
        <f>INT(B105)</f>
        <v/>
      </c>
      <c r="B105" s="37" t="n">
        <v>45761</v>
      </c>
      <c r="C105">
        <f>TEXT(B105,"mmm")</f>
        <v/>
      </c>
      <c r="D105">
        <f>MONTH(B105)</f>
        <v/>
      </c>
      <c r="E105">
        <f>ROUNDUP(MONTH(B105)/3,0)</f>
        <v/>
      </c>
      <c r="F105">
        <f>YEAR(B105)</f>
        <v/>
      </c>
    </row>
    <row r="106">
      <c r="A106">
        <f>INT(B106)</f>
        <v/>
      </c>
      <c r="B106" s="37" t="n">
        <v>45762</v>
      </c>
      <c r="C106">
        <f>TEXT(B106,"mmm")</f>
        <v/>
      </c>
      <c r="D106">
        <f>MONTH(B106)</f>
        <v/>
      </c>
      <c r="E106">
        <f>ROUNDUP(MONTH(B106)/3,0)</f>
        <v/>
      </c>
      <c r="F106">
        <f>YEAR(B106)</f>
        <v/>
      </c>
    </row>
    <row r="107">
      <c r="A107">
        <f>INT(B107)</f>
        <v/>
      </c>
      <c r="B107" s="37" t="n">
        <v>45763</v>
      </c>
      <c r="C107">
        <f>TEXT(B107,"mmm")</f>
        <v/>
      </c>
      <c r="D107">
        <f>MONTH(B107)</f>
        <v/>
      </c>
      <c r="E107">
        <f>ROUNDUP(MONTH(B107)/3,0)</f>
        <v/>
      </c>
      <c r="F107">
        <f>YEAR(B107)</f>
        <v/>
      </c>
    </row>
    <row r="108">
      <c r="A108">
        <f>INT(B108)</f>
        <v/>
      </c>
      <c r="B108" s="37" t="n">
        <v>45764</v>
      </c>
      <c r="C108">
        <f>TEXT(B108,"mmm")</f>
        <v/>
      </c>
      <c r="D108">
        <f>MONTH(B108)</f>
        <v/>
      </c>
      <c r="E108">
        <f>ROUNDUP(MONTH(B108)/3,0)</f>
        <v/>
      </c>
      <c r="F108">
        <f>YEAR(B108)</f>
        <v/>
      </c>
    </row>
    <row r="109">
      <c r="A109">
        <f>INT(B109)</f>
        <v/>
      </c>
      <c r="B109" s="37" t="n">
        <v>45765</v>
      </c>
      <c r="C109">
        <f>TEXT(B109,"mmm")</f>
        <v/>
      </c>
      <c r="D109">
        <f>MONTH(B109)</f>
        <v/>
      </c>
      <c r="E109">
        <f>ROUNDUP(MONTH(B109)/3,0)</f>
        <v/>
      </c>
      <c r="F109">
        <f>YEAR(B109)</f>
        <v/>
      </c>
    </row>
    <row r="110">
      <c r="A110">
        <f>INT(B110)</f>
        <v/>
      </c>
      <c r="B110" s="37" t="n">
        <v>45766</v>
      </c>
      <c r="C110">
        <f>TEXT(B110,"mmm")</f>
        <v/>
      </c>
      <c r="D110">
        <f>MONTH(B110)</f>
        <v/>
      </c>
      <c r="E110">
        <f>ROUNDUP(MONTH(B110)/3,0)</f>
        <v/>
      </c>
      <c r="F110">
        <f>YEAR(B110)</f>
        <v/>
      </c>
    </row>
    <row r="111">
      <c r="A111">
        <f>INT(B111)</f>
        <v/>
      </c>
      <c r="B111" s="37" t="n">
        <v>45767</v>
      </c>
      <c r="C111">
        <f>TEXT(B111,"mmm")</f>
        <v/>
      </c>
      <c r="D111">
        <f>MONTH(B111)</f>
        <v/>
      </c>
      <c r="E111">
        <f>ROUNDUP(MONTH(B111)/3,0)</f>
        <v/>
      </c>
      <c r="F111">
        <f>YEAR(B111)</f>
        <v/>
      </c>
    </row>
    <row r="112">
      <c r="A112">
        <f>INT(B112)</f>
        <v/>
      </c>
      <c r="B112" s="37" t="n">
        <v>45768</v>
      </c>
      <c r="C112">
        <f>TEXT(B112,"mmm")</f>
        <v/>
      </c>
      <c r="D112">
        <f>MONTH(B112)</f>
        <v/>
      </c>
      <c r="E112">
        <f>ROUNDUP(MONTH(B112)/3,0)</f>
        <v/>
      </c>
      <c r="F112">
        <f>YEAR(B112)</f>
        <v/>
      </c>
    </row>
    <row r="113">
      <c r="A113">
        <f>INT(B113)</f>
        <v/>
      </c>
      <c r="B113" s="37" t="n">
        <v>45769</v>
      </c>
      <c r="C113">
        <f>TEXT(B113,"mmm")</f>
        <v/>
      </c>
      <c r="D113">
        <f>MONTH(B113)</f>
        <v/>
      </c>
      <c r="E113">
        <f>ROUNDUP(MONTH(B113)/3,0)</f>
        <v/>
      </c>
      <c r="F113">
        <f>YEAR(B113)</f>
        <v/>
      </c>
    </row>
    <row r="114">
      <c r="A114">
        <f>INT(B114)</f>
        <v/>
      </c>
      <c r="B114" s="37" t="n">
        <v>45770</v>
      </c>
      <c r="C114">
        <f>TEXT(B114,"mmm")</f>
        <v/>
      </c>
      <c r="D114">
        <f>MONTH(B114)</f>
        <v/>
      </c>
      <c r="E114">
        <f>ROUNDUP(MONTH(B114)/3,0)</f>
        <v/>
      </c>
      <c r="F114">
        <f>YEAR(B114)</f>
        <v/>
      </c>
    </row>
    <row r="115">
      <c r="A115">
        <f>INT(B115)</f>
        <v/>
      </c>
      <c r="B115" s="37" t="n">
        <v>45771</v>
      </c>
      <c r="C115">
        <f>TEXT(B115,"mmm")</f>
        <v/>
      </c>
      <c r="D115">
        <f>MONTH(B115)</f>
        <v/>
      </c>
      <c r="E115">
        <f>ROUNDUP(MONTH(B115)/3,0)</f>
        <v/>
      </c>
      <c r="F115">
        <f>YEAR(B115)</f>
        <v/>
      </c>
    </row>
    <row r="116">
      <c r="A116">
        <f>INT(B116)</f>
        <v/>
      </c>
      <c r="B116" s="37" t="n">
        <v>45772</v>
      </c>
      <c r="C116">
        <f>TEXT(B116,"mmm")</f>
        <v/>
      </c>
      <c r="D116">
        <f>MONTH(B116)</f>
        <v/>
      </c>
      <c r="E116">
        <f>ROUNDUP(MONTH(B116)/3,0)</f>
        <v/>
      </c>
      <c r="F116">
        <f>YEAR(B116)</f>
        <v/>
      </c>
    </row>
    <row r="117">
      <c r="A117">
        <f>INT(B117)</f>
        <v/>
      </c>
      <c r="B117" s="37" t="n">
        <v>45773</v>
      </c>
      <c r="C117">
        <f>TEXT(B117,"mmm")</f>
        <v/>
      </c>
      <c r="D117">
        <f>MONTH(B117)</f>
        <v/>
      </c>
      <c r="E117">
        <f>ROUNDUP(MONTH(B117)/3,0)</f>
        <v/>
      </c>
      <c r="F117">
        <f>YEAR(B117)</f>
        <v/>
      </c>
    </row>
    <row r="118">
      <c r="A118">
        <f>INT(B118)</f>
        <v/>
      </c>
      <c r="B118" s="37" t="n">
        <v>45774</v>
      </c>
      <c r="C118">
        <f>TEXT(B118,"mmm")</f>
        <v/>
      </c>
      <c r="D118">
        <f>MONTH(B118)</f>
        <v/>
      </c>
      <c r="E118">
        <f>ROUNDUP(MONTH(B118)/3,0)</f>
        <v/>
      </c>
      <c r="F118">
        <f>YEAR(B118)</f>
        <v/>
      </c>
    </row>
    <row r="119">
      <c r="A119">
        <f>INT(B119)</f>
        <v/>
      </c>
      <c r="B119" s="37" t="n">
        <v>45775</v>
      </c>
      <c r="C119">
        <f>TEXT(B119,"mmm")</f>
        <v/>
      </c>
      <c r="D119">
        <f>MONTH(B119)</f>
        <v/>
      </c>
      <c r="E119">
        <f>ROUNDUP(MONTH(B119)/3,0)</f>
        <v/>
      </c>
      <c r="F119">
        <f>YEAR(B119)</f>
        <v/>
      </c>
    </row>
    <row r="120">
      <c r="A120">
        <f>INT(B120)</f>
        <v/>
      </c>
      <c r="B120" s="37" t="n">
        <v>45776</v>
      </c>
      <c r="C120">
        <f>TEXT(B120,"mmm")</f>
        <v/>
      </c>
      <c r="D120">
        <f>MONTH(B120)</f>
        <v/>
      </c>
      <c r="E120">
        <f>ROUNDUP(MONTH(B120)/3,0)</f>
        <v/>
      </c>
      <c r="F120">
        <f>YEAR(B120)</f>
        <v/>
      </c>
    </row>
    <row r="121">
      <c r="A121">
        <f>INT(B121)</f>
        <v/>
      </c>
      <c r="B121" s="37" t="n">
        <v>45777</v>
      </c>
      <c r="C121">
        <f>TEXT(B121,"mmm")</f>
        <v/>
      </c>
      <c r="D121">
        <f>MONTH(B121)</f>
        <v/>
      </c>
      <c r="E121">
        <f>ROUNDUP(MONTH(B121)/3,0)</f>
        <v/>
      </c>
      <c r="F121">
        <f>YEAR(B121)</f>
        <v/>
      </c>
    </row>
    <row r="122">
      <c r="A122">
        <f>INT(B122)</f>
        <v/>
      </c>
      <c r="B122" s="37" t="n">
        <v>45778</v>
      </c>
      <c r="C122">
        <f>TEXT(B122,"mmm")</f>
        <v/>
      </c>
      <c r="D122">
        <f>MONTH(B122)</f>
        <v/>
      </c>
      <c r="E122">
        <f>ROUNDUP(MONTH(B122)/3,0)</f>
        <v/>
      </c>
      <c r="F122">
        <f>YEAR(B122)</f>
        <v/>
      </c>
    </row>
    <row r="123">
      <c r="A123">
        <f>INT(B123)</f>
        <v/>
      </c>
      <c r="B123" s="37" t="n">
        <v>45779</v>
      </c>
      <c r="C123">
        <f>TEXT(B123,"mmm")</f>
        <v/>
      </c>
      <c r="D123">
        <f>MONTH(B123)</f>
        <v/>
      </c>
      <c r="E123">
        <f>ROUNDUP(MONTH(B123)/3,0)</f>
        <v/>
      </c>
      <c r="F123">
        <f>YEAR(B123)</f>
        <v/>
      </c>
    </row>
    <row r="124">
      <c r="A124">
        <f>INT(B124)</f>
        <v/>
      </c>
      <c r="B124" s="37" t="n">
        <v>45780</v>
      </c>
      <c r="C124">
        <f>TEXT(B124,"mmm")</f>
        <v/>
      </c>
      <c r="D124">
        <f>MONTH(B124)</f>
        <v/>
      </c>
      <c r="E124">
        <f>ROUNDUP(MONTH(B124)/3,0)</f>
        <v/>
      </c>
      <c r="F124">
        <f>YEAR(B124)</f>
        <v/>
      </c>
    </row>
    <row r="125">
      <c r="A125">
        <f>INT(B125)</f>
        <v/>
      </c>
      <c r="B125" s="37" t="n">
        <v>45781</v>
      </c>
      <c r="C125">
        <f>TEXT(B125,"mmm")</f>
        <v/>
      </c>
      <c r="D125">
        <f>MONTH(B125)</f>
        <v/>
      </c>
      <c r="E125">
        <f>ROUNDUP(MONTH(B125)/3,0)</f>
        <v/>
      </c>
      <c r="F125">
        <f>YEAR(B125)</f>
        <v/>
      </c>
    </row>
    <row r="126">
      <c r="A126">
        <f>INT(B126)</f>
        <v/>
      </c>
      <c r="B126" s="37" t="n">
        <v>45782</v>
      </c>
      <c r="C126">
        <f>TEXT(B126,"mmm")</f>
        <v/>
      </c>
      <c r="D126">
        <f>MONTH(B126)</f>
        <v/>
      </c>
      <c r="E126">
        <f>ROUNDUP(MONTH(B126)/3,0)</f>
        <v/>
      </c>
      <c r="F126">
        <f>YEAR(B126)</f>
        <v/>
      </c>
    </row>
    <row r="127">
      <c r="A127">
        <f>INT(B127)</f>
        <v/>
      </c>
      <c r="B127" s="37" t="n">
        <v>45783</v>
      </c>
      <c r="C127">
        <f>TEXT(B127,"mmm")</f>
        <v/>
      </c>
      <c r="D127">
        <f>MONTH(B127)</f>
        <v/>
      </c>
      <c r="E127">
        <f>ROUNDUP(MONTH(B127)/3,0)</f>
        <v/>
      </c>
      <c r="F127">
        <f>YEAR(B127)</f>
        <v/>
      </c>
    </row>
    <row r="128">
      <c r="A128">
        <f>INT(B128)</f>
        <v/>
      </c>
      <c r="B128" s="37" t="n">
        <v>45784</v>
      </c>
      <c r="C128">
        <f>TEXT(B128,"mmm")</f>
        <v/>
      </c>
      <c r="D128">
        <f>MONTH(B128)</f>
        <v/>
      </c>
      <c r="E128">
        <f>ROUNDUP(MONTH(B128)/3,0)</f>
        <v/>
      </c>
      <c r="F128">
        <f>YEAR(B128)</f>
        <v/>
      </c>
    </row>
    <row r="129">
      <c r="A129">
        <f>INT(B129)</f>
        <v/>
      </c>
      <c r="B129" s="37" t="n">
        <v>45785</v>
      </c>
      <c r="C129">
        <f>TEXT(B129,"mmm")</f>
        <v/>
      </c>
      <c r="D129">
        <f>MONTH(B129)</f>
        <v/>
      </c>
      <c r="E129">
        <f>ROUNDUP(MONTH(B129)/3,0)</f>
        <v/>
      </c>
      <c r="F129">
        <f>YEAR(B129)</f>
        <v/>
      </c>
    </row>
    <row r="130">
      <c r="A130">
        <f>INT(B130)</f>
        <v/>
      </c>
      <c r="B130" s="37" t="n">
        <v>45786</v>
      </c>
      <c r="C130">
        <f>TEXT(B130,"mmm")</f>
        <v/>
      </c>
      <c r="D130">
        <f>MONTH(B130)</f>
        <v/>
      </c>
      <c r="E130">
        <f>ROUNDUP(MONTH(B130)/3,0)</f>
        <v/>
      </c>
      <c r="F130">
        <f>YEAR(B130)</f>
        <v/>
      </c>
    </row>
    <row r="131">
      <c r="A131">
        <f>INT(B131)</f>
        <v/>
      </c>
      <c r="B131" s="37" t="n">
        <v>45787</v>
      </c>
      <c r="C131">
        <f>TEXT(B131,"mmm")</f>
        <v/>
      </c>
      <c r="D131">
        <f>MONTH(B131)</f>
        <v/>
      </c>
      <c r="E131">
        <f>ROUNDUP(MONTH(B131)/3,0)</f>
        <v/>
      </c>
      <c r="F131">
        <f>YEAR(B131)</f>
        <v/>
      </c>
    </row>
    <row r="132">
      <c r="A132">
        <f>INT(B132)</f>
        <v/>
      </c>
      <c r="B132" s="37" t="n">
        <v>45788</v>
      </c>
      <c r="C132">
        <f>TEXT(B132,"mmm")</f>
        <v/>
      </c>
      <c r="D132">
        <f>MONTH(B132)</f>
        <v/>
      </c>
      <c r="E132">
        <f>ROUNDUP(MONTH(B132)/3,0)</f>
        <v/>
      </c>
      <c r="F132">
        <f>YEAR(B132)</f>
        <v/>
      </c>
    </row>
    <row r="133">
      <c r="A133">
        <f>INT(B133)</f>
        <v/>
      </c>
      <c r="B133" s="37" t="n">
        <v>45789</v>
      </c>
      <c r="C133">
        <f>TEXT(B133,"mmm")</f>
        <v/>
      </c>
      <c r="D133">
        <f>MONTH(B133)</f>
        <v/>
      </c>
      <c r="E133">
        <f>ROUNDUP(MONTH(B133)/3,0)</f>
        <v/>
      </c>
      <c r="F133">
        <f>YEAR(B133)</f>
        <v/>
      </c>
    </row>
    <row r="134">
      <c r="A134">
        <f>INT(B134)</f>
        <v/>
      </c>
      <c r="B134" s="37" t="n">
        <v>45790</v>
      </c>
      <c r="C134">
        <f>TEXT(B134,"mmm")</f>
        <v/>
      </c>
      <c r="D134">
        <f>MONTH(B134)</f>
        <v/>
      </c>
      <c r="E134">
        <f>ROUNDUP(MONTH(B134)/3,0)</f>
        <v/>
      </c>
      <c r="F134">
        <f>YEAR(B134)</f>
        <v/>
      </c>
    </row>
    <row r="135">
      <c r="A135">
        <f>INT(B135)</f>
        <v/>
      </c>
      <c r="B135" s="37" t="n">
        <v>45791</v>
      </c>
      <c r="C135">
        <f>TEXT(B135,"mmm")</f>
        <v/>
      </c>
      <c r="D135">
        <f>MONTH(B135)</f>
        <v/>
      </c>
      <c r="E135">
        <f>ROUNDUP(MONTH(B135)/3,0)</f>
        <v/>
      </c>
      <c r="F135">
        <f>YEAR(B135)</f>
        <v/>
      </c>
    </row>
    <row r="136">
      <c r="A136">
        <f>INT(B136)</f>
        <v/>
      </c>
      <c r="B136" s="37" t="n">
        <v>45792</v>
      </c>
      <c r="C136">
        <f>TEXT(B136,"mmm")</f>
        <v/>
      </c>
      <c r="D136">
        <f>MONTH(B136)</f>
        <v/>
      </c>
      <c r="E136">
        <f>ROUNDUP(MONTH(B136)/3,0)</f>
        <v/>
      </c>
      <c r="F136">
        <f>YEAR(B136)</f>
        <v/>
      </c>
    </row>
    <row r="137">
      <c r="A137">
        <f>INT(B137)</f>
        <v/>
      </c>
      <c r="B137" s="37" t="n">
        <v>45793</v>
      </c>
      <c r="C137">
        <f>TEXT(B137,"mmm")</f>
        <v/>
      </c>
      <c r="D137">
        <f>MONTH(B137)</f>
        <v/>
      </c>
      <c r="E137">
        <f>ROUNDUP(MONTH(B137)/3,0)</f>
        <v/>
      </c>
      <c r="F137">
        <f>YEAR(B137)</f>
        <v/>
      </c>
    </row>
    <row r="138">
      <c r="A138">
        <f>INT(B138)</f>
        <v/>
      </c>
      <c r="B138" s="37" t="n">
        <v>45794</v>
      </c>
      <c r="C138">
        <f>TEXT(B138,"mmm")</f>
        <v/>
      </c>
      <c r="D138">
        <f>MONTH(B138)</f>
        <v/>
      </c>
      <c r="E138">
        <f>ROUNDUP(MONTH(B138)/3,0)</f>
        <v/>
      </c>
      <c r="F138">
        <f>YEAR(B138)</f>
        <v/>
      </c>
    </row>
    <row r="139">
      <c r="A139">
        <f>INT(B139)</f>
        <v/>
      </c>
      <c r="B139" s="37" t="n">
        <v>45795</v>
      </c>
      <c r="C139">
        <f>TEXT(B139,"mmm")</f>
        <v/>
      </c>
      <c r="D139">
        <f>MONTH(B139)</f>
        <v/>
      </c>
      <c r="E139">
        <f>ROUNDUP(MONTH(B139)/3,0)</f>
        <v/>
      </c>
      <c r="F139">
        <f>YEAR(B139)</f>
        <v/>
      </c>
    </row>
    <row r="140">
      <c r="A140">
        <f>INT(B140)</f>
        <v/>
      </c>
      <c r="B140" s="37" t="n">
        <v>45796</v>
      </c>
      <c r="C140">
        <f>TEXT(B140,"mmm")</f>
        <v/>
      </c>
      <c r="D140">
        <f>MONTH(B140)</f>
        <v/>
      </c>
      <c r="E140">
        <f>ROUNDUP(MONTH(B140)/3,0)</f>
        <v/>
      </c>
      <c r="F140">
        <f>YEAR(B140)</f>
        <v/>
      </c>
    </row>
    <row r="141">
      <c r="A141">
        <f>INT(B141)</f>
        <v/>
      </c>
      <c r="B141" s="37" t="n">
        <v>45797</v>
      </c>
      <c r="C141">
        <f>TEXT(B141,"mmm")</f>
        <v/>
      </c>
      <c r="D141">
        <f>MONTH(B141)</f>
        <v/>
      </c>
      <c r="E141">
        <f>ROUNDUP(MONTH(B141)/3,0)</f>
        <v/>
      </c>
      <c r="F141">
        <f>YEAR(B141)</f>
        <v/>
      </c>
    </row>
    <row r="142">
      <c r="A142">
        <f>INT(B142)</f>
        <v/>
      </c>
      <c r="B142" s="37" t="n">
        <v>45798</v>
      </c>
      <c r="C142">
        <f>TEXT(B142,"mmm")</f>
        <v/>
      </c>
      <c r="D142">
        <f>MONTH(B142)</f>
        <v/>
      </c>
      <c r="E142">
        <f>ROUNDUP(MONTH(B142)/3,0)</f>
        <v/>
      </c>
      <c r="F142">
        <f>YEAR(B142)</f>
        <v/>
      </c>
    </row>
    <row r="143">
      <c r="A143">
        <f>INT(B143)</f>
        <v/>
      </c>
      <c r="B143" s="37" t="n">
        <v>45799</v>
      </c>
      <c r="C143">
        <f>TEXT(B143,"mmm")</f>
        <v/>
      </c>
      <c r="D143">
        <f>MONTH(B143)</f>
        <v/>
      </c>
      <c r="E143">
        <f>ROUNDUP(MONTH(B143)/3,0)</f>
        <v/>
      </c>
      <c r="F143">
        <f>YEAR(B143)</f>
        <v/>
      </c>
    </row>
    <row r="144">
      <c r="A144">
        <f>INT(B144)</f>
        <v/>
      </c>
      <c r="B144" s="37" t="n">
        <v>45800</v>
      </c>
      <c r="C144">
        <f>TEXT(B144,"mmm")</f>
        <v/>
      </c>
      <c r="D144">
        <f>MONTH(B144)</f>
        <v/>
      </c>
      <c r="E144">
        <f>ROUNDUP(MONTH(B144)/3,0)</f>
        <v/>
      </c>
      <c r="F144">
        <f>YEAR(B144)</f>
        <v/>
      </c>
    </row>
    <row r="145">
      <c r="A145">
        <f>INT(B145)</f>
        <v/>
      </c>
      <c r="B145" s="37" t="n">
        <v>45801</v>
      </c>
      <c r="C145">
        <f>TEXT(B145,"mmm")</f>
        <v/>
      </c>
      <c r="D145">
        <f>MONTH(B145)</f>
        <v/>
      </c>
      <c r="E145">
        <f>ROUNDUP(MONTH(B145)/3,0)</f>
        <v/>
      </c>
      <c r="F145">
        <f>YEAR(B145)</f>
        <v/>
      </c>
    </row>
    <row r="146">
      <c r="A146">
        <f>INT(B146)</f>
        <v/>
      </c>
      <c r="B146" s="37" t="n">
        <v>45802</v>
      </c>
      <c r="C146">
        <f>TEXT(B146,"mmm")</f>
        <v/>
      </c>
      <c r="D146">
        <f>MONTH(B146)</f>
        <v/>
      </c>
      <c r="E146">
        <f>ROUNDUP(MONTH(B146)/3,0)</f>
        <v/>
      </c>
      <c r="F146">
        <f>YEAR(B146)</f>
        <v/>
      </c>
    </row>
    <row r="147">
      <c r="A147">
        <f>INT(B147)</f>
        <v/>
      </c>
      <c r="B147" s="37" t="n">
        <v>45803</v>
      </c>
      <c r="C147">
        <f>TEXT(B147,"mmm")</f>
        <v/>
      </c>
      <c r="D147">
        <f>MONTH(B147)</f>
        <v/>
      </c>
      <c r="E147">
        <f>ROUNDUP(MONTH(B147)/3,0)</f>
        <v/>
      </c>
      <c r="F147">
        <f>YEAR(B147)</f>
        <v/>
      </c>
    </row>
    <row r="148">
      <c r="A148">
        <f>INT(B148)</f>
        <v/>
      </c>
      <c r="B148" s="37" t="n">
        <v>45804</v>
      </c>
      <c r="C148">
        <f>TEXT(B148,"mmm")</f>
        <v/>
      </c>
      <c r="D148">
        <f>MONTH(B148)</f>
        <v/>
      </c>
      <c r="E148">
        <f>ROUNDUP(MONTH(B148)/3,0)</f>
        <v/>
      </c>
      <c r="F148">
        <f>YEAR(B148)</f>
        <v/>
      </c>
    </row>
    <row r="149">
      <c r="A149">
        <f>INT(B149)</f>
        <v/>
      </c>
      <c r="B149" s="37" t="n">
        <v>45805</v>
      </c>
      <c r="C149">
        <f>TEXT(B149,"mmm")</f>
        <v/>
      </c>
      <c r="D149">
        <f>MONTH(B149)</f>
        <v/>
      </c>
      <c r="E149">
        <f>ROUNDUP(MONTH(B149)/3,0)</f>
        <v/>
      </c>
      <c r="F149">
        <f>YEAR(B149)</f>
        <v/>
      </c>
    </row>
    <row r="150">
      <c r="A150">
        <f>INT(B150)</f>
        <v/>
      </c>
      <c r="B150" s="37" t="n">
        <v>45806</v>
      </c>
      <c r="C150">
        <f>TEXT(B150,"mmm")</f>
        <v/>
      </c>
      <c r="D150">
        <f>MONTH(B150)</f>
        <v/>
      </c>
      <c r="E150">
        <f>ROUNDUP(MONTH(B150)/3,0)</f>
        <v/>
      </c>
      <c r="F150">
        <f>YEAR(B150)</f>
        <v/>
      </c>
    </row>
    <row r="151">
      <c r="A151">
        <f>INT(B151)</f>
        <v/>
      </c>
      <c r="B151" s="37" t="n">
        <v>45807</v>
      </c>
      <c r="C151">
        <f>TEXT(B151,"mmm")</f>
        <v/>
      </c>
      <c r="D151">
        <f>MONTH(B151)</f>
        <v/>
      </c>
      <c r="E151">
        <f>ROUNDUP(MONTH(B151)/3,0)</f>
        <v/>
      </c>
      <c r="F151">
        <f>YEAR(B151)</f>
        <v/>
      </c>
    </row>
    <row r="152">
      <c r="A152">
        <f>INT(B152)</f>
        <v/>
      </c>
      <c r="B152" s="37" t="n">
        <v>45808</v>
      </c>
      <c r="C152">
        <f>TEXT(B152,"mmm")</f>
        <v/>
      </c>
      <c r="D152">
        <f>MONTH(B152)</f>
        <v/>
      </c>
      <c r="E152">
        <f>ROUNDUP(MONTH(B152)/3,0)</f>
        <v/>
      </c>
      <c r="F152">
        <f>YEAR(B152)</f>
        <v/>
      </c>
    </row>
    <row r="153">
      <c r="A153">
        <f>INT(B153)</f>
        <v/>
      </c>
      <c r="B153" s="37" t="n">
        <v>45809</v>
      </c>
      <c r="C153">
        <f>TEXT(B153,"mmm")</f>
        <v/>
      </c>
      <c r="D153">
        <f>MONTH(B153)</f>
        <v/>
      </c>
      <c r="E153">
        <f>ROUNDUP(MONTH(B153)/3,0)</f>
        <v/>
      </c>
      <c r="F153">
        <f>YEAR(B153)</f>
        <v/>
      </c>
    </row>
    <row r="154">
      <c r="A154">
        <f>INT(B154)</f>
        <v/>
      </c>
      <c r="B154" s="37" t="n">
        <v>45810</v>
      </c>
      <c r="C154">
        <f>TEXT(B154,"mmm")</f>
        <v/>
      </c>
      <c r="D154">
        <f>MONTH(B154)</f>
        <v/>
      </c>
      <c r="E154">
        <f>ROUNDUP(MONTH(B154)/3,0)</f>
        <v/>
      </c>
      <c r="F154">
        <f>YEAR(B154)</f>
        <v/>
      </c>
    </row>
    <row r="155">
      <c r="A155">
        <f>INT(B155)</f>
        <v/>
      </c>
      <c r="B155" s="37" t="n">
        <v>45811</v>
      </c>
      <c r="C155">
        <f>TEXT(B155,"mmm")</f>
        <v/>
      </c>
      <c r="D155">
        <f>MONTH(B155)</f>
        <v/>
      </c>
      <c r="E155">
        <f>ROUNDUP(MONTH(B155)/3,0)</f>
        <v/>
      </c>
      <c r="F155">
        <f>YEAR(B155)</f>
        <v/>
      </c>
    </row>
    <row r="156">
      <c r="A156">
        <f>INT(B156)</f>
        <v/>
      </c>
      <c r="B156" s="37" t="n">
        <v>45812</v>
      </c>
      <c r="C156">
        <f>TEXT(B156,"mmm")</f>
        <v/>
      </c>
      <c r="D156">
        <f>MONTH(B156)</f>
        <v/>
      </c>
      <c r="E156">
        <f>ROUNDUP(MONTH(B156)/3,0)</f>
        <v/>
      </c>
      <c r="F156">
        <f>YEAR(B156)</f>
        <v/>
      </c>
    </row>
    <row r="157">
      <c r="A157">
        <f>INT(B157)</f>
        <v/>
      </c>
      <c r="B157" s="37" t="n">
        <v>45813</v>
      </c>
      <c r="C157">
        <f>TEXT(B157,"mmm")</f>
        <v/>
      </c>
      <c r="D157">
        <f>MONTH(B157)</f>
        <v/>
      </c>
      <c r="E157">
        <f>ROUNDUP(MONTH(B157)/3,0)</f>
        <v/>
      </c>
      <c r="F157">
        <f>YEAR(B157)</f>
        <v/>
      </c>
    </row>
    <row r="158">
      <c r="A158">
        <f>INT(B158)</f>
        <v/>
      </c>
      <c r="B158" s="37" t="n">
        <v>45814</v>
      </c>
      <c r="C158">
        <f>TEXT(B158,"mmm")</f>
        <v/>
      </c>
      <c r="D158">
        <f>MONTH(B158)</f>
        <v/>
      </c>
      <c r="E158">
        <f>ROUNDUP(MONTH(B158)/3,0)</f>
        <v/>
      </c>
      <c r="F158">
        <f>YEAR(B158)</f>
        <v/>
      </c>
    </row>
    <row r="159">
      <c r="A159">
        <f>INT(B159)</f>
        <v/>
      </c>
      <c r="B159" s="37" t="n">
        <v>45815</v>
      </c>
      <c r="C159">
        <f>TEXT(B159,"mmm")</f>
        <v/>
      </c>
      <c r="D159">
        <f>MONTH(B159)</f>
        <v/>
      </c>
      <c r="E159">
        <f>ROUNDUP(MONTH(B159)/3,0)</f>
        <v/>
      </c>
      <c r="F159">
        <f>YEAR(B159)</f>
        <v/>
      </c>
    </row>
    <row r="160">
      <c r="A160">
        <f>INT(B160)</f>
        <v/>
      </c>
      <c r="B160" s="37" t="n">
        <v>45816</v>
      </c>
      <c r="C160">
        <f>TEXT(B160,"mmm")</f>
        <v/>
      </c>
      <c r="D160">
        <f>MONTH(B160)</f>
        <v/>
      </c>
      <c r="E160">
        <f>ROUNDUP(MONTH(B160)/3,0)</f>
        <v/>
      </c>
      <c r="F160">
        <f>YEAR(B160)</f>
        <v/>
      </c>
    </row>
    <row r="161">
      <c r="A161">
        <f>INT(B161)</f>
        <v/>
      </c>
      <c r="B161" s="37" t="n">
        <v>45817</v>
      </c>
      <c r="C161">
        <f>TEXT(B161,"mmm")</f>
        <v/>
      </c>
      <c r="D161">
        <f>MONTH(B161)</f>
        <v/>
      </c>
      <c r="E161">
        <f>ROUNDUP(MONTH(B161)/3,0)</f>
        <v/>
      </c>
      <c r="F161">
        <f>YEAR(B161)</f>
        <v/>
      </c>
    </row>
    <row r="162">
      <c r="A162">
        <f>INT(B162)</f>
        <v/>
      </c>
      <c r="B162" s="37" t="n">
        <v>45818</v>
      </c>
      <c r="C162">
        <f>TEXT(B162,"mmm")</f>
        <v/>
      </c>
      <c r="D162">
        <f>MONTH(B162)</f>
        <v/>
      </c>
      <c r="E162">
        <f>ROUNDUP(MONTH(B162)/3,0)</f>
        <v/>
      </c>
      <c r="F162">
        <f>YEAR(B162)</f>
        <v/>
      </c>
    </row>
    <row r="163">
      <c r="A163">
        <f>INT(B163)</f>
        <v/>
      </c>
      <c r="B163" s="37" t="n">
        <v>45819</v>
      </c>
      <c r="C163">
        <f>TEXT(B163,"mmm")</f>
        <v/>
      </c>
      <c r="D163">
        <f>MONTH(B163)</f>
        <v/>
      </c>
      <c r="E163">
        <f>ROUNDUP(MONTH(B163)/3,0)</f>
        <v/>
      </c>
      <c r="F163">
        <f>YEAR(B163)</f>
        <v/>
      </c>
    </row>
    <row r="164">
      <c r="A164">
        <f>INT(B164)</f>
        <v/>
      </c>
      <c r="B164" s="37" t="n">
        <v>45820</v>
      </c>
      <c r="C164">
        <f>TEXT(B164,"mmm")</f>
        <v/>
      </c>
      <c r="D164">
        <f>MONTH(B164)</f>
        <v/>
      </c>
      <c r="E164">
        <f>ROUNDUP(MONTH(B164)/3,0)</f>
        <v/>
      </c>
      <c r="F164">
        <f>YEAR(B164)</f>
        <v/>
      </c>
    </row>
    <row r="165">
      <c r="A165">
        <f>INT(B165)</f>
        <v/>
      </c>
      <c r="B165" s="37" t="n">
        <v>45821</v>
      </c>
      <c r="C165">
        <f>TEXT(B165,"mmm")</f>
        <v/>
      </c>
      <c r="D165">
        <f>MONTH(B165)</f>
        <v/>
      </c>
      <c r="E165">
        <f>ROUNDUP(MONTH(B165)/3,0)</f>
        <v/>
      </c>
      <c r="F165">
        <f>YEAR(B165)</f>
        <v/>
      </c>
    </row>
    <row r="166">
      <c r="A166">
        <f>INT(B166)</f>
        <v/>
      </c>
      <c r="B166" s="37" t="n">
        <v>45822</v>
      </c>
      <c r="C166">
        <f>TEXT(B166,"mmm")</f>
        <v/>
      </c>
      <c r="D166">
        <f>MONTH(B166)</f>
        <v/>
      </c>
      <c r="E166">
        <f>ROUNDUP(MONTH(B166)/3,0)</f>
        <v/>
      </c>
      <c r="F166">
        <f>YEAR(B166)</f>
        <v/>
      </c>
    </row>
    <row r="167">
      <c r="A167">
        <f>INT(B167)</f>
        <v/>
      </c>
      <c r="B167" s="37" t="n">
        <v>45823</v>
      </c>
      <c r="C167">
        <f>TEXT(B167,"mmm")</f>
        <v/>
      </c>
      <c r="D167">
        <f>MONTH(B167)</f>
        <v/>
      </c>
      <c r="E167">
        <f>ROUNDUP(MONTH(B167)/3,0)</f>
        <v/>
      </c>
      <c r="F167">
        <f>YEAR(B167)</f>
        <v/>
      </c>
    </row>
    <row r="168">
      <c r="A168">
        <f>INT(B168)</f>
        <v/>
      </c>
      <c r="B168" s="37" t="n">
        <v>45824</v>
      </c>
      <c r="C168">
        <f>TEXT(B168,"mmm")</f>
        <v/>
      </c>
      <c r="D168">
        <f>MONTH(B168)</f>
        <v/>
      </c>
      <c r="E168">
        <f>ROUNDUP(MONTH(B168)/3,0)</f>
        <v/>
      </c>
      <c r="F168">
        <f>YEAR(B168)</f>
        <v/>
      </c>
    </row>
    <row r="169">
      <c r="A169">
        <f>INT(B169)</f>
        <v/>
      </c>
      <c r="B169" s="37" t="n">
        <v>45825</v>
      </c>
      <c r="C169">
        <f>TEXT(B169,"mmm")</f>
        <v/>
      </c>
      <c r="D169">
        <f>MONTH(B169)</f>
        <v/>
      </c>
      <c r="E169">
        <f>ROUNDUP(MONTH(B169)/3,0)</f>
        <v/>
      </c>
      <c r="F169">
        <f>YEAR(B169)</f>
        <v/>
      </c>
    </row>
    <row r="170">
      <c r="A170">
        <f>INT(B170)</f>
        <v/>
      </c>
      <c r="B170" s="37" t="n">
        <v>45826</v>
      </c>
      <c r="C170">
        <f>TEXT(B170,"mmm")</f>
        <v/>
      </c>
      <c r="D170">
        <f>MONTH(B170)</f>
        <v/>
      </c>
      <c r="E170">
        <f>ROUNDUP(MONTH(B170)/3,0)</f>
        <v/>
      </c>
      <c r="F170">
        <f>YEAR(B170)</f>
        <v/>
      </c>
    </row>
    <row r="171">
      <c r="A171">
        <f>INT(B171)</f>
        <v/>
      </c>
      <c r="B171" s="37" t="n">
        <v>45827</v>
      </c>
      <c r="C171">
        <f>TEXT(B171,"mmm")</f>
        <v/>
      </c>
      <c r="D171">
        <f>MONTH(B171)</f>
        <v/>
      </c>
      <c r="E171">
        <f>ROUNDUP(MONTH(B171)/3,0)</f>
        <v/>
      </c>
      <c r="F171">
        <f>YEAR(B171)</f>
        <v/>
      </c>
    </row>
    <row r="172">
      <c r="A172">
        <f>INT(B172)</f>
        <v/>
      </c>
      <c r="B172" s="37" t="n">
        <v>45828</v>
      </c>
      <c r="C172">
        <f>TEXT(B172,"mmm")</f>
        <v/>
      </c>
      <c r="D172">
        <f>MONTH(B172)</f>
        <v/>
      </c>
      <c r="E172">
        <f>ROUNDUP(MONTH(B172)/3,0)</f>
        <v/>
      </c>
      <c r="F172">
        <f>YEAR(B172)</f>
        <v/>
      </c>
    </row>
    <row r="173">
      <c r="A173">
        <f>INT(B173)</f>
        <v/>
      </c>
      <c r="B173" s="37" t="n">
        <v>45829</v>
      </c>
      <c r="C173">
        <f>TEXT(B173,"mmm")</f>
        <v/>
      </c>
      <c r="D173">
        <f>MONTH(B173)</f>
        <v/>
      </c>
      <c r="E173">
        <f>ROUNDUP(MONTH(B173)/3,0)</f>
        <v/>
      </c>
      <c r="F173">
        <f>YEAR(B173)</f>
        <v/>
      </c>
    </row>
    <row r="174">
      <c r="A174">
        <f>INT(B174)</f>
        <v/>
      </c>
      <c r="B174" s="37" t="n">
        <v>45830</v>
      </c>
      <c r="C174">
        <f>TEXT(B174,"mmm")</f>
        <v/>
      </c>
      <c r="D174">
        <f>MONTH(B174)</f>
        <v/>
      </c>
      <c r="E174">
        <f>ROUNDUP(MONTH(B174)/3,0)</f>
        <v/>
      </c>
      <c r="F174">
        <f>YEAR(B174)</f>
        <v/>
      </c>
    </row>
    <row r="175">
      <c r="A175">
        <f>INT(B175)</f>
        <v/>
      </c>
      <c r="B175" s="37" t="n">
        <v>45831</v>
      </c>
      <c r="C175">
        <f>TEXT(B175,"mmm")</f>
        <v/>
      </c>
      <c r="D175">
        <f>MONTH(B175)</f>
        <v/>
      </c>
      <c r="E175">
        <f>ROUNDUP(MONTH(B175)/3,0)</f>
        <v/>
      </c>
      <c r="F175">
        <f>YEAR(B175)</f>
        <v/>
      </c>
    </row>
    <row r="176">
      <c r="A176">
        <f>INT(B176)</f>
        <v/>
      </c>
      <c r="B176" s="37" t="n">
        <v>45832</v>
      </c>
      <c r="C176">
        <f>TEXT(B176,"mmm")</f>
        <v/>
      </c>
      <c r="D176">
        <f>MONTH(B176)</f>
        <v/>
      </c>
      <c r="E176">
        <f>ROUNDUP(MONTH(B176)/3,0)</f>
        <v/>
      </c>
      <c r="F176">
        <f>YEAR(B176)</f>
        <v/>
      </c>
    </row>
    <row r="177">
      <c r="A177">
        <f>INT(B177)</f>
        <v/>
      </c>
      <c r="B177" s="37" t="n">
        <v>45833</v>
      </c>
      <c r="C177">
        <f>TEXT(B177,"mmm")</f>
        <v/>
      </c>
      <c r="D177">
        <f>MONTH(B177)</f>
        <v/>
      </c>
      <c r="E177">
        <f>ROUNDUP(MONTH(B177)/3,0)</f>
        <v/>
      </c>
      <c r="F177">
        <f>YEAR(B177)</f>
        <v/>
      </c>
    </row>
    <row r="178">
      <c r="A178">
        <f>INT(B178)</f>
        <v/>
      </c>
      <c r="B178" s="37" t="n">
        <v>45834</v>
      </c>
      <c r="C178">
        <f>TEXT(B178,"mmm")</f>
        <v/>
      </c>
      <c r="D178">
        <f>MONTH(B178)</f>
        <v/>
      </c>
      <c r="E178">
        <f>ROUNDUP(MONTH(B178)/3,0)</f>
        <v/>
      </c>
      <c r="F178">
        <f>YEAR(B178)</f>
        <v/>
      </c>
    </row>
    <row r="179">
      <c r="A179">
        <f>INT(B179)</f>
        <v/>
      </c>
      <c r="B179" s="37" t="n">
        <v>45835</v>
      </c>
      <c r="C179">
        <f>TEXT(B179,"mmm")</f>
        <v/>
      </c>
      <c r="D179">
        <f>MONTH(B179)</f>
        <v/>
      </c>
      <c r="E179">
        <f>ROUNDUP(MONTH(B179)/3,0)</f>
        <v/>
      </c>
      <c r="F179">
        <f>YEAR(B179)</f>
        <v/>
      </c>
    </row>
    <row r="180">
      <c r="A180">
        <f>INT(B180)</f>
        <v/>
      </c>
      <c r="B180" s="37" t="n">
        <v>45836</v>
      </c>
      <c r="C180">
        <f>TEXT(B180,"mmm")</f>
        <v/>
      </c>
      <c r="D180">
        <f>MONTH(B180)</f>
        <v/>
      </c>
      <c r="E180">
        <f>ROUNDUP(MONTH(B180)/3,0)</f>
        <v/>
      </c>
      <c r="F180">
        <f>YEAR(B180)</f>
        <v/>
      </c>
    </row>
    <row r="181">
      <c r="A181">
        <f>INT(B181)</f>
        <v/>
      </c>
      <c r="B181" s="37" t="n">
        <v>45837</v>
      </c>
      <c r="C181">
        <f>TEXT(B181,"mmm")</f>
        <v/>
      </c>
      <c r="D181">
        <f>MONTH(B181)</f>
        <v/>
      </c>
      <c r="E181">
        <f>ROUNDUP(MONTH(B181)/3,0)</f>
        <v/>
      </c>
      <c r="F181">
        <f>YEAR(B181)</f>
        <v/>
      </c>
    </row>
    <row r="182">
      <c r="A182">
        <f>INT(B182)</f>
        <v/>
      </c>
      <c r="B182" s="37" t="n">
        <v>45838</v>
      </c>
      <c r="C182">
        <f>TEXT(B182,"mmm")</f>
        <v/>
      </c>
      <c r="D182">
        <f>MONTH(B182)</f>
        <v/>
      </c>
      <c r="E182">
        <f>ROUNDUP(MONTH(B182)/3,0)</f>
        <v/>
      </c>
      <c r="F182">
        <f>YEAR(B182)</f>
        <v/>
      </c>
    </row>
    <row r="183">
      <c r="A183">
        <f>INT(B183)</f>
        <v/>
      </c>
      <c r="B183" s="37" t="n">
        <v>45839</v>
      </c>
      <c r="C183">
        <f>TEXT(B183,"mmm")</f>
        <v/>
      </c>
      <c r="D183">
        <f>MONTH(B183)</f>
        <v/>
      </c>
      <c r="E183">
        <f>ROUNDUP(MONTH(B183)/3,0)</f>
        <v/>
      </c>
      <c r="F183">
        <f>YEAR(B183)</f>
        <v/>
      </c>
    </row>
    <row r="184">
      <c r="A184">
        <f>INT(B184)</f>
        <v/>
      </c>
      <c r="B184" s="37" t="n">
        <v>45840</v>
      </c>
      <c r="C184">
        <f>TEXT(B184,"mmm")</f>
        <v/>
      </c>
      <c r="D184">
        <f>MONTH(B184)</f>
        <v/>
      </c>
      <c r="E184">
        <f>ROUNDUP(MONTH(B184)/3,0)</f>
        <v/>
      </c>
      <c r="F184">
        <f>YEAR(B184)</f>
        <v/>
      </c>
    </row>
    <row r="185">
      <c r="A185">
        <f>INT(B185)</f>
        <v/>
      </c>
      <c r="B185" s="37" t="n">
        <v>45841</v>
      </c>
      <c r="C185">
        <f>TEXT(B185,"mmm")</f>
        <v/>
      </c>
      <c r="D185">
        <f>MONTH(B185)</f>
        <v/>
      </c>
      <c r="E185">
        <f>ROUNDUP(MONTH(B185)/3,0)</f>
        <v/>
      </c>
      <c r="F185">
        <f>YEAR(B185)</f>
        <v/>
      </c>
    </row>
    <row r="186">
      <c r="A186">
        <f>INT(B186)</f>
        <v/>
      </c>
      <c r="B186" s="37" t="n">
        <v>45842</v>
      </c>
      <c r="C186">
        <f>TEXT(B186,"mmm")</f>
        <v/>
      </c>
      <c r="D186">
        <f>MONTH(B186)</f>
        <v/>
      </c>
      <c r="E186">
        <f>ROUNDUP(MONTH(B186)/3,0)</f>
        <v/>
      </c>
      <c r="F186">
        <f>YEAR(B186)</f>
        <v/>
      </c>
    </row>
    <row r="187">
      <c r="A187">
        <f>INT(B187)</f>
        <v/>
      </c>
      <c r="B187" s="37" t="n">
        <v>45843</v>
      </c>
      <c r="C187">
        <f>TEXT(B187,"mmm")</f>
        <v/>
      </c>
      <c r="D187">
        <f>MONTH(B187)</f>
        <v/>
      </c>
      <c r="E187">
        <f>ROUNDUP(MONTH(B187)/3,0)</f>
        <v/>
      </c>
      <c r="F187">
        <f>YEAR(B187)</f>
        <v/>
      </c>
    </row>
    <row r="188">
      <c r="A188">
        <f>INT(B188)</f>
        <v/>
      </c>
      <c r="B188" s="37" t="n">
        <v>45844</v>
      </c>
      <c r="C188">
        <f>TEXT(B188,"mmm")</f>
        <v/>
      </c>
      <c r="D188">
        <f>MONTH(B188)</f>
        <v/>
      </c>
      <c r="E188">
        <f>ROUNDUP(MONTH(B188)/3,0)</f>
        <v/>
      </c>
      <c r="F188">
        <f>YEAR(B188)</f>
        <v/>
      </c>
    </row>
    <row r="189">
      <c r="A189">
        <f>INT(B189)</f>
        <v/>
      </c>
      <c r="B189" s="37" t="n">
        <v>45845</v>
      </c>
      <c r="C189">
        <f>TEXT(B189,"mmm")</f>
        <v/>
      </c>
      <c r="D189">
        <f>MONTH(B189)</f>
        <v/>
      </c>
      <c r="E189">
        <f>ROUNDUP(MONTH(B189)/3,0)</f>
        <v/>
      </c>
      <c r="F189">
        <f>YEAR(B189)</f>
        <v/>
      </c>
    </row>
    <row r="190">
      <c r="A190">
        <f>INT(B190)</f>
        <v/>
      </c>
      <c r="B190" s="37" t="n">
        <v>45846</v>
      </c>
      <c r="C190">
        <f>TEXT(B190,"mmm")</f>
        <v/>
      </c>
      <c r="D190">
        <f>MONTH(B190)</f>
        <v/>
      </c>
      <c r="E190">
        <f>ROUNDUP(MONTH(B190)/3,0)</f>
        <v/>
      </c>
      <c r="F190">
        <f>YEAR(B190)</f>
        <v/>
      </c>
    </row>
    <row r="191">
      <c r="A191">
        <f>INT(B191)</f>
        <v/>
      </c>
      <c r="B191" s="37" t="n">
        <v>45847</v>
      </c>
      <c r="C191">
        <f>TEXT(B191,"mmm")</f>
        <v/>
      </c>
      <c r="D191">
        <f>MONTH(B191)</f>
        <v/>
      </c>
      <c r="E191">
        <f>ROUNDUP(MONTH(B191)/3,0)</f>
        <v/>
      </c>
      <c r="F191">
        <f>YEAR(B191)</f>
        <v/>
      </c>
    </row>
    <row r="192">
      <c r="A192">
        <f>INT(B192)</f>
        <v/>
      </c>
      <c r="B192" s="37" t="n">
        <v>45848</v>
      </c>
      <c r="C192">
        <f>TEXT(B192,"mmm")</f>
        <v/>
      </c>
      <c r="D192">
        <f>MONTH(B192)</f>
        <v/>
      </c>
      <c r="E192">
        <f>ROUNDUP(MONTH(B192)/3,0)</f>
        <v/>
      </c>
      <c r="F192">
        <f>YEAR(B192)</f>
        <v/>
      </c>
    </row>
    <row r="193">
      <c r="A193">
        <f>INT(B193)</f>
        <v/>
      </c>
      <c r="B193" s="37" t="n">
        <v>45849</v>
      </c>
      <c r="C193">
        <f>TEXT(B193,"mmm")</f>
        <v/>
      </c>
      <c r="D193">
        <f>MONTH(B193)</f>
        <v/>
      </c>
      <c r="E193">
        <f>ROUNDUP(MONTH(B193)/3,0)</f>
        <v/>
      </c>
      <c r="F193">
        <f>YEAR(B193)</f>
        <v/>
      </c>
    </row>
    <row r="194">
      <c r="A194">
        <f>INT(B194)</f>
        <v/>
      </c>
      <c r="B194" s="37" t="n">
        <v>45850</v>
      </c>
      <c r="C194">
        <f>TEXT(B194,"mmm")</f>
        <v/>
      </c>
      <c r="D194">
        <f>MONTH(B194)</f>
        <v/>
      </c>
      <c r="E194">
        <f>ROUNDUP(MONTH(B194)/3,0)</f>
        <v/>
      </c>
      <c r="F194">
        <f>YEAR(B194)</f>
        <v/>
      </c>
    </row>
    <row r="195">
      <c r="A195">
        <f>INT(B195)</f>
        <v/>
      </c>
      <c r="B195" s="37" t="n">
        <v>45851</v>
      </c>
      <c r="C195">
        <f>TEXT(B195,"mmm")</f>
        <v/>
      </c>
      <c r="D195">
        <f>MONTH(B195)</f>
        <v/>
      </c>
      <c r="E195">
        <f>ROUNDUP(MONTH(B195)/3,0)</f>
        <v/>
      </c>
      <c r="F195">
        <f>YEAR(B195)</f>
        <v/>
      </c>
    </row>
    <row r="196">
      <c r="A196">
        <f>INT(B196)</f>
        <v/>
      </c>
      <c r="B196" s="37" t="n">
        <v>45852</v>
      </c>
      <c r="C196">
        <f>TEXT(B196,"mmm")</f>
        <v/>
      </c>
      <c r="D196">
        <f>MONTH(B196)</f>
        <v/>
      </c>
      <c r="E196">
        <f>ROUNDUP(MONTH(B196)/3,0)</f>
        <v/>
      </c>
      <c r="F196">
        <f>YEAR(B196)</f>
        <v/>
      </c>
    </row>
    <row r="197">
      <c r="A197">
        <f>INT(B197)</f>
        <v/>
      </c>
      <c r="B197" s="37" t="n">
        <v>45853</v>
      </c>
      <c r="C197">
        <f>TEXT(B197,"mmm")</f>
        <v/>
      </c>
      <c r="D197">
        <f>MONTH(B197)</f>
        <v/>
      </c>
      <c r="E197">
        <f>ROUNDUP(MONTH(B197)/3,0)</f>
        <v/>
      </c>
      <c r="F197">
        <f>YEAR(B197)</f>
        <v/>
      </c>
    </row>
    <row r="198">
      <c r="A198">
        <f>INT(B198)</f>
        <v/>
      </c>
      <c r="B198" s="37" t="n">
        <v>45854</v>
      </c>
      <c r="C198">
        <f>TEXT(B198,"mmm")</f>
        <v/>
      </c>
      <c r="D198">
        <f>MONTH(B198)</f>
        <v/>
      </c>
      <c r="E198">
        <f>ROUNDUP(MONTH(B198)/3,0)</f>
        <v/>
      </c>
      <c r="F198">
        <f>YEAR(B198)</f>
        <v/>
      </c>
    </row>
    <row r="199">
      <c r="A199">
        <f>INT(B199)</f>
        <v/>
      </c>
      <c r="B199" s="37" t="n">
        <v>45855</v>
      </c>
      <c r="C199">
        <f>TEXT(B199,"mmm")</f>
        <v/>
      </c>
      <c r="D199">
        <f>MONTH(B199)</f>
        <v/>
      </c>
      <c r="E199">
        <f>ROUNDUP(MONTH(B199)/3,0)</f>
        <v/>
      </c>
      <c r="F199">
        <f>YEAR(B199)</f>
        <v/>
      </c>
    </row>
    <row r="200">
      <c r="A200">
        <f>INT(B200)</f>
        <v/>
      </c>
      <c r="B200" s="37" t="n">
        <v>45856</v>
      </c>
      <c r="C200">
        <f>TEXT(B200,"mmm")</f>
        <v/>
      </c>
      <c r="D200">
        <f>MONTH(B200)</f>
        <v/>
      </c>
      <c r="E200">
        <f>ROUNDUP(MONTH(B200)/3,0)</f>
        <v/>
      </c>
      <c r="F200">
        <f>YEAR(B200)</f>
        <v/>
      </c>
    </row>
    <row r="201">
      <c r="A201">
        <f>INT(B201)</f>
        <v/>
      </c>
      <c r="B201" s="37" t="n">
        <v>45857</v>
      </c>
      <c r="C201">
        <f>TEXT(B201,"mmm")</f>
        <v/>
      </c>
      <c r="D201">
        <f>MONTH(B201)</f>
        <v/>
      </c>
      <c r="E201">
        <f>ROUNDUP(MONTH(B201)/3,0)</f>
        <v/>
      </c>
      <c r="F201">
        <f>YEAR(B201)</f>
        <v/>
      </c>
    </row>
    <row r="202">
      <c r="A202">
        <f>INT(B202)</f>
        <v/>
      </c>
      <c r="B202" s="37" t="n">
        <v>45858</v>
      </c>
      <c r="C202">
        <f>TEXT(B202,"mmm")</f>
        <v/>
      </c>
      <c r="D202">
        <f>MONTH(B202)</f>
        <v/>
      </c>
      <c r="E202">
        <f>ROUNDUP(MONTH(B202)/3,0)</f>
        <v/>
      </c>
      <c r="F202">
        <f>YEAR(B202)</f>
        <v/>
      </c>
    </row>
    <row r="203">
      <c r="A203">
        <f>INT(B203)</f>
        <v/>
      </c>
      <c r="B203" s="37" t="n">
        <v>45859</v>
      </c>
      <c r="C203">
        <f>TEXT(B203,"mmm")</f>
        <v/>
      </c>
      <c r="D203">
        <f>MONTH(B203)</f>
        <v/>
      </c>
      <c r="E203">
        <f>ROUNDUP(MONTH(B203)/3,0)</f>
        <v/>
      </c>
      <c r="F203">
        <f>YEAR(B203)</f>
        <v/>
      </c>
    </row>
    <row r="204">
      <c r="A204">
        <f>INT(B204)</f>
        <v/>
      </c>
      <c r="B204" s="37" t="n">
        <v>45860</v>
      </c>
      <c r="C204">
        <f>TEXT(B204,"mmm")</f>
        <v/>
      </c>
      <c r="D204">
        <f>MONTH(B204)</f>
        <v/>
      </c>
      <c r="E204">
        <f>ROUNDUP(MONTH(B204)/3,0)</f>
        <v/>
      </c>
      <c r="F204">
        <f>YEAR(B204)</f>
        <v/>
      </c>
    </row>
    <row r="205">
      <c r="A205">
        <f>INT(B205)</f>
        <v/>
      </c>
      <c r="B205" s="37" t="n">
        <v>45861</v>
      </c>
      <c r="C205">
        <f>TEXT(B205,"mmm")</f>
        <v/>
      </c>
      <c r="D205">
        <f>MONTH(B205)</f>
        <v/>
      </c>
      <c r="E205">
        <f>ROUNDUP(MONTH(B205)/3,0)</f>
        <v/>
      </c>
      <c r="F205">
        <f>YEAR(B205)</f>
        <v/>
      </c>
    </row>
    <row r="206">
      <c r="A206">
        <f>INT(B206)</f>
        <v/>
      </c>
      <c r="B206" s="37" t="n">
        <v>45862</v>
      </c>
      <c r="C206">
        <f>TEXT(B206,"mmm")</f>
        <v/>
      </c>
      <c r="D206">
        <f>MONTH(B206)</f>
        <v/>
      </c>
      <c r="E206">
        <f>ROUNDUP(MONTH(B206)/3,0)</f>
        <v/>
      </c>
      <c r="F206">
        <f>YEAR(B206)</f>
        <v/>
      </c>
    </row>
    <row r="207">
      <c r="A207">
        <f>INT(B207)</f>
        <v/>
      </c>
      <c r="B207" s="37" t="n">
        <v>45863</v>
      </c>
      <c r="C207">
        <f>TEXT(B207,"mmm")</f>
        <v/>
      </c>
      <c r="D207">
        <f>MONTH(B207)</f>
        <v/>
      </c>
      <c r="E207">
        <f>ROUNDUP(MONTH(B207)/3,0)</f>
        <v/>
      </c>
      <c r="F207">
        <f>YEAR(B207)</f>
        <v/>
      </c>
    </row>
    <row r="208">
      <c r="A208">
        <f>INT(B208)</f>
        <v/>
      </c>
      <c r="B208" s="37" t="n">
        <v>45864</v>
      </c>
      <c r="C208">
        <f>TEXT(B208,"mmm")</f>
        <v/>
      </c>
      <c r="D208">
        <f>MONTH(B208)</f>
        <v/>
      </c>
      <c r="E208">
        <f>ROUNDUP(MONTH(B208)/3,0)</f>
        <v/>
      </c>
      <c r="F208">
        <f>YEAR(B208)</f>
        <v/>
      </c>
    </row>
    <row r="209">
      <c r="A209">
        <f>INT(B209)</f>
        <v/>
      </c>
      <c r="B209" s="37" t="n">
        <v>45865</v>
      </c>
      <c r="C209">
        <f>TEXT(B209,"mmm")</f>
        <v/>
      </c>
      <c r="D209">
        <f>MONTH(B209)</f>
        <v/>
      </c>
      <c r="E209">
        <f>ROUNDUP(MONTH(B209)/3,0)</f>
        <v/>
      </c>
      <c r="F209">
        <f>YEAR(B209)</f>
        <v/>
      </c>
    </row>
    <row r="210">
      <c r="A210">
        <f>INT(B210)</f>
        <v/>
      </c>
      <c r="B210" s="37" t="n">
        <v>45866</v>
      </c>
      <c r="C210">
        <f>TEXT(B210,"mmm")</f>
        <v/>
      </c>
      <c r="D210">
        <f>MONTH(B210)</f>
        <v/>
      </c>
      <c r="E210">
        <f>ROUNDUP(MONTH(B210)/3,0)</f>
        <v/>
      </c>
      <c r="F210">
        <f>YEAR(B210)</f>
        <v/>
      </c>
    </row>
    <row r="211">
      <c r="A211">
        <f>INT(B211)</f>
        <v/>
      </c>
      <c r="B211" s="37" t="n">
        <v>45867</v>
      </c>
      <c r="C211">
        <f>TEXT(B211,"mmm")</f>
        <v/>
      </c>
      <c r="D211">
        <f>MONTH(B211)</f>
        <v/>
      </c>
      <c r="E211">
        <f>ROUNDUP(MONTH(B211)/3,0)</f>
        <v/>
      </c>
      <c r="F211">
        <f>YEAR(B211)</f>
        <v/>
      </c>
    </row>
    <row r="212">
      <c r="A212">
        <f>INT(B212)</f>
        <v/>
      </c>
      <c r="B212" s="37" t="n">
        <v>45868</v>
      </c>
      <c r="C212">
        <f>TEXT(B212,"mmm")</f>
        <v/>
      </c>
      <c r="D212">
        <f>MONTH(B212)</f>
        <v/>
      </c>
      <c r="E212">
        <f>ROUNDUP(MONTH(B212)/3,0)</f>
        <v/>
      </c>
      <c r="F212">
        <f>YEAR(B212)</f>
        <v/>
      </c>
    </row>
    <row r="213">
      <c r="A213">
        <f>INT(B213)</f>
        <v/>
      </c>
      <c r="B213" s="37" t="n">
        <v>45869</v>
      </c>
      <c r="C213">
        <f>TEXT(B213,"mmm")</f>
        <v/>
      </c>
      <c r="D213">
        <f>MONTH(B213)</f>
        <v/>
      </c>
      <c r="E213">
        <f>ROUNDUP(MONTH(B213)/3,0)</f>
        <v/>
      </c>
      <c r="F213">
        <f>YEAR(B213)</f>
        <v/>
      </c>
    </row>
    <row r="214">
      <c r="A214">
        <f>INT(B214)</f>
        <v/>
      </c>
      <c r="B214" s="37" t="n">
        <v>45870</v>
      </c>
      <c r="C214">
        <f>TEXT(B214,"mmm")</f>
        <v/>
      </c>
      <c r="D214">
        <f>MONTH(B214)</f>
        <v/>
      </c>
      <c r="E214">
        <f>ROUNDUP(MONTH(B214)/3,0)</f>
        <v/>
      </c>
      <c r="F214">
        <f>YEAR(B214)</f>
        <v/>
      </c>
    </row>
    <row r="215">
      <c r="A215">
        <f>INT(B215)</f>
        <v/>
      </c>
      <c r="B215" s="37" t="n">
        <v>45871</v>
      </c>
      <c r="C215">
        <f>TEXT(B215,"mmm")</f>
        <v/>
      </c>
      <c r="D215">
        <f>MONTH(B215)</f>
        <v/>
      </c>
      <c r="E215">
        <f>ROUNDUP(MONTH(B215)/3,0)</f>
        <v/>
      </c>
      <c r="F215">
        <f>YEAR(B215)</f>
        <v/>
      </c>
    </row>
    <row r="216">
      <c r="A216">
        <f>INT(B216)</f>
        <v/>
      </c>
      <c r="B216" s="37" t="n">
        <v>45872</v>
      </c>
      <c r="C216">
        <f>TEXT(B216,"mmm")</f>
        <v/>
      </c>
      <c r="D216">
        <f>MONTH(B216)</f>
        <v/>
      </c>
      <c r="E216">
        <f>ROUNDUP(MONTH(B216)/3,0)</f>
        <v/>
      </c>
      <c r="F216">
        <f>YEAR(B216)</f>
        <v/>
      </c>
    </row>
    <row r="217">
      <c r="A217">
        <f>INT(B217)</f>
        <v/>
      </c>
      <c r="B217" s="37" t="n">
        <v>45873</v>
      </c>
      <c r="C217">
        <f>TEXT(B217,"mmm")</f>
        <v/>
      </c>
      <c r="D217">
        <f>MONTH(B217)</f>
        <v/>
      </c>
      <c r="E217">
        <f>ROUNDUP(MONTH(B217)/3,0)</f>
        <v/>
      </c>
      <c r="F217">
        <f>YEAR(B217)</f>
        <v/>
      </c>
    </row>
    <row r="218">
      <c r="A218">
        <f>INT(B218)</f>
        <v/>
      </c>
      <c r="B218" s="37" t="n">
        <v>45874</v>
      </c>
      <c r="C218">
        <f>TEXT(B218,"mmm")</f>
        <v/>
      </c>
      <c r="D218">
        <f>MONTH(B218)</f>
        <v/>
      </c>
      <c r="E218">
        <f>ROUNDUP(MONTH(B218)/3,0)</f>
        <v/>
      </c>
      <c r="F218">
        <f>YEAR(B218)</f>
        <v/>
      </c>
    </row>
    <row r="219">
      <c r="A219">
        <f>INT(B219)</f>
        <v/>
      </c>
      <c r="B219" s="37" t="n">
        <v>45875</v>
      </c>
      <c r="C219">
        <f>TEXT(B219,"mmm")</f>
        <v/>
      </c>
      <c r="D219">
        <f>MONTH(B219)</f>
        <v/>
      </c>
      <c r="E219">
        <f>ROUNDUP(MONTH(B219)/3,0)</f>
        <v/>
      </c>
      <c r="F219">
        <f>YEAR(B219)</f>
        <v/>
      </c>
    </row>
    <row r="220">
      <c r="A220">
        <f>INT(B220)</f>
        <v/>
      </c>
      <c r="B220" s="37" t="n">
        <v>45876</v>
      </c>
      <c r="C220">
        <f>TEXT(B220,"mmm")</f>
        <v/>
      </c>
      <c r="D220">
        <f>MONTH(B220)</f>
        <v/>
      </c>
      <c r="E220">
        <f>ROUNDUP(MONTH(B220)/3,0)</f>
        <v/>
      </c>
      <c r="F220">
        <f>YEAR(B220)</f>
        <v/>
      </c>
    </row>
    <row r="221">
      <c r="A221">
        <f>INT(B221)</f>
        <v/>
      </c>
      <c r="B221" s="37" t="n">
        <v>45877</v>
      </c>
      <c r="C221">
        <f>TEXT(B221,"mmm")</f>
        <v/>
      </c>
      <c r="D221">
        <f>MONTH(B221)</f>
        <v/>
      </c>
      <c r="E221">
        <f>ROUNDUP(MONTH(B221)/3,0)</f>
        <v/>
      </c>
      <c r="F221">
        <f>YEAR(B221)</f>
        <v/>
      </c>
    </row>
    <row r="222">
      <c r="A222">
        <f>INT(B222)</f>
        <v/>
      </c>
      <c r="B222" s="37" t="n">
        <v>45878</v>
      </c>
      <c r="C222">
        <f>TEXT(B222,"mmm")</f>
        <v/>
      </c>
      <c r="D222">
        <f>MONTH(B222)</f>
        <v/>
      </c>
      <c r="E222">
        <f>ROUNDUP(MONTH(B222)/3,0)</f>
        <v/>
      </c>
      <c r="F222">
        <f>YEAR(B222)</f>
        <v/>
      </c>
    </row>
    <row r="223">
      <c r="A223">
        <f>INT(B223)</f>
        <v/>
      </c>
      <c r="B223" s="37" t="n">
        <v>45879</v>
      </c>
      <c r="C223">
        <f>TEXT(B223,"mmm")</f>
        <v/>
      </c>
      <c r="D223">
        <f>MONTH(B223)</f>
        <v/>
      </c>
      <c r="E223">
        <f>ROUNDUP(MONTH(B223)/3,0)</f>
        <v/>
      </c>
      <c r="F223">
        <f>YEAR(B223)</f>
        <v/>
      </c>
    </row>
    <row r="224">
      <c r="A224">
        <f>INT(B224)</f>
        <v/>
      </c>
      <c r="B224" s="37" t="n">
        <v>45880</v>
      </c>
      <c r="C224">
        <f>TEXT(B224,"mmm")</f>
        <v/>
      </c>
      <c r="D224">
        <f>MONTH(B224)</f>
        <v/>
      </c>
      <c r="E224">
        <f>ROUNDUP(MONTH(B224)/3,0)</f>
        <v/>
      </c>
      <c r="F224">
        <f>YEAR(B224)</f>
        <v/>
      </c>
    </row>
    <row r="225">
      <c r="A225">
        <f>INT(B225)</f>
        <v/>
      </c>
      <c r="B225" s="37" t="n">
        <v>45881</v>
      </c>
      <c r="C225">
        <f>TEXT(B225,"mmm")</f>
        <v/>
      </c>
      <c r="D225">
        <f>MONTH(B225)</f>
        <v/>
      </c>
      <c r="E225">
        <f>ROUNDUP(MONTH(B225)/3,0)</f>
        <v/>
      </c>
      <c r="F225">
        <f>YEAR(B225)</f>
        <v/>
      </c>
    </row>
    <row r="226">
      <c r="A226">
        <f>INT(B226)</f>
        <v/>
      </c>
      <c r="B226" s="37" t="n">
        <v>45882</v>
      </c>
      <c r="C226">
        <f>TEXT(B226,"mmm")</f>
        <v/>
      </c>
      <c r="D226">
        <f>MONTH(B226)</f>
        <v/>
      </c>
      <c r="E226">
        <f>ROUNDUP(MONTH(B226)/3,0)</f>
        <v/>
      </c>
      <c r="F226">
        <f>YEAR(B226)</f>
        <v/>
      </c>
    </row>
    <row r="227">
      <c r="A227">
        <f>INT(B227)</f>
        <v/>
      </c>
      <c r="B227" s="37" t="n">
        <v>45883</v>
      </c>
      <c r="C227">
        <f>TEXT(B227,"mmm")</f>
        <v/>
      </c>
      <c r="D227">
        <f>MONTH(B227)</f>
        <v/>
      </c>
      <c r="E227">
        <f>ROUNDUP(MONTH(B227)/3,0)</f>
        <v/>
      </c>
      <c r="F227">
        <f>YEAR(B227)</f>
        <v/>
      </c>
    </row>
    <row r="228">
      <c r="A228">
        <f>INT(B228)</f>
        <v/>
      </c>
      <c r="B228" s="37" t="n">
        <v>45884</v>
      </c>
      <c r="C228">
        <f>TEXT(B228,"mmm")</f>
        <v/>
      </c>
      <c r="D228">
        <f>MONTH(B228)</f>
        <v/>
      </c>
      <c r="E228">
        <f>ROUNDUP(MONTH(B228)/3,0)</f>
        <v/>
      </c>
      <c r="F228">
        <f>YEAR(B228)</f>
        <v/>
      </c>
    </row>
    <row r="229">
      <c r="A229">
        <f>INT(B229)</f>
        <v/>
      </c>
      <c r="B229" s="37" t="n">
        <v>45885</v>
      </c>
      <c r="C229">
        <f>TEXT(B229,"mmm")</f>
        <v/>
      </c>
      <c r="D229">
        <f>MONTH(B229)</f>
        <v/>
      </c>
      <c r="E229">
        <f>ROUNDUP(MONTH(B229)/3,0)</f>
        <v/>
      </c>
      <c r="F229">
        <f>YEAR(B229)</f>
        <v/>
      </c>
    </row>
    <row r="230">
      <c r="A230">
        <f>INT(B230)</f>
        <v/>
      </c>
      <c r="B230" s="37" t="n">
        <v>45886</v>
      </c>
      <c r="C230">
        <f>TEXT(B230,"mmm")</f>
        <v/>
      </c>
      <c r="D230">
        <f>MONTH(B230)</f>
        <v/>
      </c>
      <c r="E230">
        <f>ROUNDUP(MONTH(B230)/3,0)</f>
        <v/>
      </c>
      <c r="F230">
        <f>YEAR(B230)</f>
        <v/>
      </c>
    </row>
    <row r="231">
      <c r="A231">
        <f>INT(B231)</f>
        <v/>
      </c>
      <c r="B231" s="37" t="n">
        <v>45887</v>
      </c>
      <c r="C231">
        <f>TEXT(B231,"mmm")</f>
        <v/>
      </c>
      <c r="D231">
        <f>MONTH(B231)</f>
        <v/>
      </c>
      <c r="E231">
        <f>ROUNDUP(MONTH(B231)/3,0)</f>
        <v/>
      </c>
      <c r="F231">
        <f>YEAR(B231)</f>
        <v/>
      </c>
    </row>
    <row r="232">
      <c r="A232">
        <f>INT(B232)</f>
        <v/>
      </c>
      <c r="B232" s="37" t="n">
        <v>45888</v>
      </c>
      <c r="C232">
        <f>TEXT(B232,"mmm")</f>
        <v/>
      </c>
      <c r="D232">
        <f>MONTH(B232)</f>
        <v/>
      </c>
      <c r="E232">
        <f>ROUNDUP(MONTH(B232)/3,0)</f>
        <v/>
      </c>
      <c r="F232">
        <f>YEAR(B232)</f>
        <v/>
      </c>
    </row>
    <row r="233">
      <c r="A233">
        <f>INT(B233)</f>
        <v/>
      </c>
      <c r="B233" s="37" t="n">
        <v>45889</v>
      </c>
      <c r="C233">
        <f>TEXT(B233,"mmm")</f>
        <v/>
      </c>
      <c r="D233">
        <f>MONTH(B233)</f>
        <v/>
      </c>
      <c r="E233">
        <f>ROUNDUP(MONTH(B233)/3,0)</f>
        <v/>
      </c>
      <c r="F233">
        <f>YEAR(B233)</f>
        <v/>
      </c>
    </row>
    <row r="234">
      <c r="A234">
        <f>INT(B234)</f>
        <v/>
      </c>
      <c r="B234" s="37" t="n">
        <v>45890</v>
      </c>
      <c r="C234">
        <f>TEXT(B234,"mmm")</f>
        <v/>
      </c>
      <c r="D234">
        <f>MONTH(B234)</f>
        <v/>
      </c>
      <c r="E234">
        <f>ROUNDUP(MONTH(B234)/3,0)</f>
        <v/>
      </c>
      <c r="F234">
        <f>YEAR(B234)</f>
        <v/>
      </c>
    </row>
    <row r="235">
      <c r="A235">
        <f>INT(B235)</f>
        <v/>
      </c>
      <c r="B235" s="37" t="n">
        <v>45891</v>
      </c>
      <c r="C235">
        <f>TEXT(B235,"mmm")</f>
        <v/>
      </c>
      <c r="D235">
        <f>MONTH(B235)</f>
        <v/>
      </c>
      <c r="E235">
        <f>ROUNDUP(MONTH(B235)/3,0)</f>
        <v/>
      </c>
      <c r="F235">
        <f>YEAR(B235)</f>
        <v/>
      </c>
    </row>
    <row r="236">
      <c r="A236">
        <f>INT(B236)</f>
        <v/>
      </c>
      <c r="B236" s="37" t="n">
        <v>45892</v>
      </c>
      <c r="C236">
        <f>TEXT(B236,"mmm")</f>
        <v/>
      </c>
      <c r="D236">
        <f>MONTH(B236)</f>
        <v/>
      </c>
      <c r="E236">
        <f>ROUNDUP(MONTH(B236)/3,0)</f>
        <v/>
      </c>
      <c r="F236">
        <f>YEAR(B236)</f>
        <v/>
      </c>
    </row>
    <row r="237">
      <c r="A237">
        <f>INT(B237)</f>
        <v/>
      </c>
      <c r="B237" s="37" t="n">
        <v>45893</v>
      </c>
      <c r="C237">
        <f>TEXT(B237,"mmm")</f>
        <v/>
      </c>
      <c r="D237">
        <f>MONTH(B237)</f>
        <v/>
      </c>
      <c r="E237">
        <f>ROUNDUP(MONTH(B237)/3,0)</f>
        <v/>
      </c>
      <c r="F237">
        <f>YEAR(B237)</f>
        <v/>
      </c>
    </row>
    <row r="238">
      <c r="A238">
        <f>INT(B238)</f>
        <v/>
      </c>
      <c r="B238" s="37" t="n">
        <v>45894</v>
      </c>
      <c r="C238">
        <f>TEXT(B238,"mmm")</f>
        <v/>
      </c>
      <c r="D238">
        <f>MONTH(B238)</f>
        <v/>
      </c>
      <c r="E238">
        <f>ROUNDUP(MONTH(B238)/3,0)</f>
        <v/>
      </c>
      <c r="F238">
        <f>YEAR(B238)</f>
        <v/>
      </c>
    </row>
    <row r="239">
      <c r="A239">
        <f>INT(B239)</f>
        <v/>
      </c>
      <c r="B239" s="37" t="n">
        <v>45895</v>
      </c>
      <c r="C239">
        <f>TEXT(B239,"mmm")</f>
        <v/>
      </c>
      <c r="D239">
        <f>MONTH(B239)</f>
        <v/>
      </c>
      <c r="E239">
        <f>ROUNDUP(MONTH(B239)/3,0)</f>
        <v/>
      </c>
      <c r="F239">
        <f>YEAR(B239)</f>
        <v/>
      </c>
    </row>
    <row r="240">
      <c r="A240">
        <f>INT(B240)</f>
        <v/>
      </c>
      <c r="B240" s="37" t="n">
        <v>45896</v>
      </c>
      <c r="C240">
        <f>TEXT(B240,"mmm")</f>
        <v/>
      </c>
      <c r="D240">
        <f>MONTH(B240)</f>
        <v/>
      </c>
      <c r="E240">
        <f>ROUNDUP(MONTH(B240)/3,0)</f>
        <v/>
      </c>
      <c r="F240">
        <f>YEAR(B240)</f>
        <v/>
      </c>
    </row>
    <row r="241">
      <c r="A241">
        <f>INT(B241)</f>
        <v/>
      </c>
      <c r="B241" s="37" t="n">
        <v>45897</v>
      </c>
      <c r="C241">
        <f>TEXT(B241,"mmm")</f>
        <v/>
      </c>
      <c r="D241">
        <f>MONTH(B241)</f>
        <v/>
      </c>
      <c r="E241">
        <f>ROUNDUP(MONTH(B241)/3,0)</f>
        <v/>
      </c>
      <c r="F241">
        <f>YEAR(B241)</f>
        <v/>
      </c>
    </row>
    <row r="242">
      <c r="A242">
        <f>INT(B242)</f>
        <v/>
      </c>
      <c r="B242" s="37" t="n">
        <v>45898</v>
      </c>
      <c r="C242">
        <f>TEXT(B242,"mmm")</f>
        <v/>
      </c>
      <c r="D242">
        <f>MONTH(B242)</f>
        <v/>
      </c>
      <c r="E242">
        <f>ROUNDUP(MONTH(B242)/3,0)</f>
        <v/>
      </c>
      <c r="F242">
        <f>YEAR(B242)</f>
        <v/>
      </c>
    </row>
    <row r="243">
      <c r="A243">
        <f>INT(B243)</f>
        <v/>
      </c>
      <c r="B243" s="37" t="n">
        <v>45899</v>
      </c>
      <c r="C243">
        <f>TEXT(B243,"mmm")</f>
        <v/>
      </c>
      <c r="D243">
        <f>MONTH(B243)</f>
        <v/>
      </c>
      <c r="E243">
        <f>ROUNDUP(MONTH(B243)/3,0)</f>
        <v/>
      </c>
      <c r="F243">
        <f>YEAR(B243)</f>
        <v/>
      </c>
    </row>
    <row r="244">
      <c r="A244">
        <f>INT(B244)</f>
        <v/>
      </c>
      <c r="B244" s="37" t="n">
        <v>45900</v>
      </c>
      <c r="C244">
        <f>TEXT(B244,"mmm")</f>
        <v/>
      </c>
      <c r="D244">
        <f>MONTH(B244)</f>
        <v/>
      </c>
      <c r="E244">
        <f>ROUNDUP(MONTH(B244)/3,0)</f>
        <v/>
      </c>
      <c r="F244">
        <f>YEAR(B244)</f>
        <v/>
      </c>
    </row>
    <row r="245">
      <c r="A245">
        <f>INT(B245)</f>
        <v/>
      </c>
      <c r="B245" s="37" t="n">
        <v>45901</v>
      </c>
      <c r="C245">
        <f>TEXT(B245,"mmm")</f>
        <v/>
      </c>
      <c r="D245">
        <f>MONTH(B245)</f>
        <v/>
      </c>
      <c r="E245">
        <f>ROUNDUP(MONTH(B245)/3,0)</f>
        <v/>
      </c>
      <c r="F245">
        <f>YEAR(B245)</f>
        <v/>
      </c>
    </row>
    <row r="246">
      <c r="A246">
        <f>INT(B246)</f>
        <v/>
      </c>
      <c r="B246" s="37" t="n">
        <v>45902</v>
      </c>
      <c r="C246">
        <f>TEXT(B246,"mmm")</f>
        <v/>
      </c>
      <c r="D246">
        <f>MONTH(B246)</f>
        <v/>
      </c>
      <c r="E246">
        <f>ROUNDUP(MONTH(B246)/3,0)</f>
        <v/>
      </c>
      <c r="F246">
        <f>YEAR(B246)</f>
        <v/>
      </c>
    </row>
    <row r="247">
      <c r="A247">
        <f>INT(B247)</f>
        <v/>
      </c>
      <c r="B247" s="37" t="n">
        <v>45903</v>
      </c>
      <c r="C247">
        <f>TEXT(B247,"mmm")</f>
        <v/>
      </c>
      <c r="D247">
        <f>MONTH(B247)</f>
        <v/>
      </c>
      <c r="E247">
        <f>ROUNDUP(MONTH(B247)/3,0)</f>
        <v/>
      </c>
      <c r="F247">
        <f>YEAR(B247)</f>
        <v/>
      </c>
    </row>
    <row r="248">
      <c r="A248">
        <f>INT(B248)</f>
        <v/>
      </c>
      <c r="B248" s="37" t="n">
        <v>45904</v>
      </c>
      <c r="C248">
        <f>TEXT(B248,"mmm")</f>
        <v/>
      </c>
      <c r="D248">
        <f>MONTH(B248)</f>
        <v/>
      </c>
      <c r="E248">
        <f>ROUNDUP(MONTH(B248)/3,0)</f>
        <v/>
      </c>
      <c r="F248">
        <f>YEAR(B248)</f>
        <v/>
      </c>
    </row>
    <row r="249">
      <c r="A249">
        <f>INT(B249)</f>
        <v/>
      </c>
      <c r="B249" s="37" t="n">
        <v>45905</v>
      </c>
      <c r="C249">
        <f>TEXT(B249,"mmm")</f>
        <v/>
      </c>
      <c r="D249">
        <f>MONTH(B249)</f>
        <v/>
      </c>
      <c r="E249">
        <f>ROUNDUP(MONTH(B249)/3,0)</f>
        <v/>
      </c>
      <c r="F249">
        <f>YEAR(B249)</f>
        <v/>
      </c>
    </row>
    <row r="250">
      <c r="A250">
        <f>INT(B250)</f>
        <v/>
      </c>
      <c r="B250" s="37" t="n">
        <v>45906</v>
      </c>
      <c r="C250">
        <f>TEXT(B250,"mmm")</f>
        <v/>
      </c>
      <c r="D250">
        <f>MONTH(B250)</f>
        <v/>
      </c>
      <c r="E250">
        <f>ROUNDUP(MONTH(B250)/3,0)</f>
        <v/>
      </c>
      <c r="F250">
        <f>YEAR(B250)</f>
        <v/>
      </c>
    </row>
    <row r="251">
      <c r="A251">
        <f>INT(B251)</f>
        <v/>
      </c>
      <c r="B251" s="37" t="n">
        <v>45907</v>
      </c>
      <c r="C251">
        <f>TEXT(B251,"mmm")</f>
        <v/>
      </c>
      <c r="D251">
        <f>MONTH(B251)</f>
        <v/>
      </c>
      <c r="E251">
        <f>ROUNDUP(MONTH(B251)/3,0)</f>
        <v/>
      </c>
      <c r="F251">
        <f>YEAR(B251)</f>
        <v/>
      </c>
    </row>
    <row r="252">
      <c r="A252">
        <f>INT(B252)</f>
        <v/>
      </c>
      <c r="B252" s="37" t="n">
        <v>45908</v>
      </c>
      <c r="C252">
        <f>TEXT(B252,"mmm")</f>
        <v/>
      </c>
      <c r="D252">
        <f>MONTH(B252)</f>
        <v/>
      </c>
      <c r="E252">
        <f>ROUNDUP(MONTH(B252)/3,0)</f>
        <v/>
      </c>
      <c r="F252">
        <f>YEAR(B252)</f>
        <v/>
      </c>
    </row>
    <row r="253">
      <c r="A253">
        <f>INT(B253)</f>
        <v/>
      </c>
      <c r="B253" s="37" t="n">
        <v>45909</v>
      </c>
      <c r="C253">
        <f>TEXT(B253,"mmm")</f>
        <v/>
      </c>
      <c r="D253">
        <f>MONTH(B253)</f>
        <v/>
      </c>
      <c r="E253">
        <f>ROUNDUP(MONTH(B253)/3,0)</f>
        <v/>
      </c>
      <c r="F253">
        <f>YEAR(B253)</f>
        <v/>
      </c>
    </row>
    <row r="254">
      <c r="A254">
        <f>INT(B254)</f>
        <v/>
      </c>
      <c r="B254" s="37" t="n">
        <v>45910</v>
      </c>
      <c r="C254">
        <f>TEXT(B254,"mmm")</f>
        <v/>
      </c>
      <c r="D254">
        <f>MONTH(B254)</f>
        <v/>
      </c>
      <c r="E254">
        <f>ROUNDUP(MONTH(B254)/3,0)</f>
        <v/>
      </c>
      <c r="F254">
        <f>YEAR(B254)</f>
        <v/>
      </c>
    </row>
    <row r="255">
      <c r="A255">
        <f>INT(B255)</f>
        <v/>
      </c>
      <c r="B255" s="37" t="n">
        <v>45911</v>
      </c>
      <c r="C255">
        <f>TEXT(B255,"mmm")</f>
        <v/>
      </c>
      <c r="D255">
        <f>MONTH(B255)</f>
        <v/>
      </c>
      <c r="E255">
        <f>ROUNDUP(MONTH(B255)/3,0)</f>
        <v/>
      </c>
      <c r="F255">
        <f>YEAR(B255)</f>
        <v/>
      </c>
    </row>
    <row r="256">
      <c r="A256">
        <f>INT(B256)</f>
        <v/>
      </c>
      <c r="B256" s="37" t="n">
        <v>45912</v>
      </c>
      <c r="C256">
        <f>TEXT(B256,"mmm")</f>
        <v/>
      </c>
      <c r="D256">
        <f>MONTH(B256)</f>
        <v/>
      </c>
      <c r="E256">
        <f>ROUNDUP(MONTH(B256)/3,0)</f>
        <v/>
      </c>
      <c r="F256">
        <f>YEAR(B256)</f>
        <v/>
      </c>
    </row>
    <row r="257">
      <c r="A257">
        <f>INT(B257)</f>
        <v/>
      </c>
      <c r="B257" s="37" t="n">
        <v>45913</v>
      </c>
      <c r="C257">
        <f>TEXT(B257,"mmm")</f>
        <v/>
      </c>
      <c r="D257">
        <f>MONTH(B257)</f>
        <v/>
      </c>
      <c r="E257">
        <f>ROUNDUP(MONTH(B257)/3,0)</f>
        <v/>
      </c>
      <c r="F257">
        <f>YEAR(B257)</f>
        <v/>
      </c>
    </row>
    <row r="258">
      <c r="A258">
        <f>INT(B258)</f>
        <v/>
      </c>
      <c r="B258" s="37" t="n">
        <v>45914</v>
      </c>
      <c r="C258">
        <f>TEXT(B258,"mmm")</f>
        <v/>
      </c>
      <c r="D258">
        <f>MONTH(B258)</f>
        <v/>
      </c>
      <c r="E258">
        <f>ROUNDUP(MONTH(B258)/3,0)</f>
        <v/>
      </c>
      <c r="F258">
        <f>YEAR(B258)</f>
        <v/>
      </c>
    </row>
    <row r="259">
      <c r="A259">
        <f>INT(B259)</f>
        <v/>
      </c>
      <c r="B259" s="37" t="n">
        <v>45915</v>
      </c>
      <c r="C259">
        <f>TEXT(B259,"mmm")</f>
        <v/>
      </c>
      <c r="D259">
        <f>MONTH(B259)</f>
        <v/>
      </c>
      <c r="E259">
        <f>ROUNDUP(MONTH(B259)/3,0)</f>
        <v/>
      </c>
      <c r="F259">
        <f>YEAR(B259)</f>
        <v/>
      </c>
    </row>
    <row r="260">
      <c r="A260">
        <f>INT(B260)</f>
        <v/>
      </c>
      <c r="B260" s="37" t="n">
        <v>45916</v>
      </c>
      <c r="C260">
        <f>TEXT(B260,"mmm")</f>
        <v/>
      </c>
      <c r="D260">
        <f>MONTH(B260)</f>
        <v/>
      </c>
      <c r="E260">
        <f>ROUNDUP(MONTH(B260)/3,0)</f>
        <v/>
      </c>
      <c r="F260">
        <f>YEAR(B260)</f>
        <v/>
      </c>
    </row>
    <row r="261">
      <c r="A261">
        <f>INT(B261)</f>
        <v/>
      </c>
      <c r="B261" s="37" t="n">
        <v>45917</v>
      </c>
      <c r="C261">
        <f>TEXT(B261,"mmm")</f>
        <v/>
      </c>
      <c r="D261">
        <f>MONTH(B261)</f>
        <v/>
      </c>
      <c r="E261">
        <f>ROUNDUP(MONTH(B261)/3,0)</f>
        <v/>
      </c>
      <c r="F261">
        <f>YEAR(B261)</f>
        <v/>
      </c>
    </row>
    <row r="262">
      <c r="A262">
        <f>INT(B262)</f>
        <v/>
      </c>
      <c r="B262" s="37" t="n">
        <v>45918</v>
      </c>
      <c r="C262">
        <f>TEXT(B262,"mmm")</f>
        <v/>
      </c>
      <c r="D262">
        <f>MONTH(B262)</f>
        <v/>
      </c>
      <c r="E262">
        <f>ROUNDUP(MONTH(B262)/3,0)</f>
        <v/>
      </c>
      <c r="F262">
        <f>YEAR(B262)</f>
        <v/>
      </c>
    </row>
    <row r="263">
      <c r="A263">
        <f>INT(B263)</f>
        <v/>
      </c>
      <c r="B263" s="37" t="n">
        <v>45919</v>
      </c>
      <c r="C263">
        <f>TEXT(B263,"mmm")</f>
        <v/>
      </c>
      <c r="D263">
        <f>MONTH(B263)</f>
        <v/>
      </c>
      <c r="E263">
        <f>ROUNDUP(MONTH(B263)/3,0)</f>
        <v/>
      </c>
      <c r="F263">
        <f>YEAR(B263)</f>
        <v/>
      </c>
    </row>
    <row r="264">
      <c r="A264">
        <f>INT(B264)</f>
        <v/>
      </c>
      <c r="B264" s="37" t="n">
        <v>45920</v>
      </c>
      <c r="C264">
        <f>TEXT(B264,"mmm")</f>
        <v/>
      </c>
      <c r="D264">
        <f>MONTH(B264)</f>
        <v/>
      </c>
      <c r="E264">
        <f>ROUNDUP(MONTH(B264)/3,0)</f>
        <v/>
      </c>
      <c r="F264">
        <f>YEAR(B264)</f>
        <v/>
      </c>
    </row>
    <row r="265">
      <c r="A265">
        <f>INT(B265)</f>
        <v/>
      </c>
      <c r="B265" s="37" t="n">
        <v>45921</v>
      </c>
      <c r="C265">
        <f>TEXT(B265,"mmm")</f>
        <v/>
      </c>
      <c r="D265">
        <f>MONTH(B265)</f>
        <v/>
      </c>
      <c r="E265">
        <f>ROUNDUP(MONTH(B265)/3,0)</f>
        <v/>
      </c>
      <c r="F265">
        <f>YEAR(B265)</f>
        <v/>
      </c>
    </row>
    <row r="266">
      <c r="A266">
        <f>INT(B266)</f>
        <v/>
      </c>
      <c r="B266" s="37" t="n">
        <v>45922</v>
      </c>
      <c r="C266">
        <f>TEXT(B266,"mmm")</f>
        <v/>
      </c>
      <c r="D266">
        <f>MONTH(B266)</f>
        <v/>
      </c>
      <c r="E266">
        <f>ROUNDUP(MONTH(B266)/3,0)</f>
        <v/>
      </c>
      <c r="F266">
        <f>YEAR(B266)</f>
        <v/>
      </c>
    </row>
    <row r="267">
      <c r="A267">
        <f>INT(B267)</f>
        <v/>
      </c>
      <c r="B267" s="37" t="n">
        <v>45923</v>
      </c>
      <c r="C267">
        <f>TEXT(B267,"mmm")</f>
        <v/>
      </c>
      <c r="D267">
        <f>MONTH(B267)</f>
        <v/>
      </c>
      <c r="E267">
        <f>ROUNDUP(MONTH(B267)/3,0)</f>
        <v/>
      </c>
      <c r="F267">
        <f>YEAR(B267)</f>
        <v/>
      </c>
    </row>
    <row r="268">
      <c r="A268">
        <f>INT(B268)</f>
        <v/>
      </c>
      <c r="B268" s="37" t="n">
        <v>45924</v>
      </c>
      <c r="C268">
        <f>TEXT(B268,"mmm")</f>
        <v/>
      </c>
      <c r="D268">
        <f>MONTH(B268)</f>
        <v/>
      </c>
      <c r="E268">
        <f>ROUNDUP(MONTH(B268)/3,0)</f>
        <v/>
      </c>
      <c r="F268">
        <f>YEAR(B268)</f>
        <v/>
      </c>
    </row>
    <row r="269">
      <c r="A269">
        <f>INT(B269)</f>
        <v/>
      </c>
      <c r="B269" s="37" t="n">
        <v>45925</v>
      </c>
      <c r="C269">
        <f>TEXT(B269,"mmm")</f>
        <v/>
      </c>
      <c r="D269">
        <f>MONTH(B269)</f>
        <v/>
      </c>
      <c r="E269">
        <f>ROUNDUP(MONTH(B269)/3,0)</f>
        <v/>
      </c>
      <c r="F269">
        <f>YEAR(B269)</f>
        <v/>
      </c>
    </row>
    <row r="270">
      <c r="A270">
        <f>INT(B270)</f>
        <v/>
      </c>
      <c r="B270" s="37" t="n">
        <v>45926</v>
      </c>
      <c r="C270">
        <f>TEXT(B270,"mmm")</f>
        <v/>
      </c>
      <c r="D270">
        <f>MONTH(B270)</f>
        <v/>
      </c>
      <c r="E270">
        <f>ROUNDUP(MONTH(B270)/3,0)</f>
        <v/>
      </c>
      <c r="F270">
        <f>YEAR(B270)</f>
        <v/>
      </c>
    </row>
    <row r="271">
      <c r="A271">
        <f>INT(B271)</f>
        <v/>
      </c>
      <c r="B271" s="37" t="n">
        <v>45927</v>
      </c>
      <c r="C271">
        <f>TEXT(B271,"mmm")</f>
        <v/>
      </c>
      <c r="D271">
        <f>MONTH(B271)</f>
        <v/>
      </c>
      <c r="E271">
        <f>ROUNDUP(MONTH(B271)/3,0)</f>
        <v/>
      </c>
      <c r="F271">
        <f>YEAR(B271)</f>
        <v/>
      </c>
    </row>
    <row r="272">
      <c r="A272">
        <f>INT(B272)</f>
        <v/>
      </c>
      <c r="B272" s="37" t="n">
        <v>45928</v>
      </c>
      <c r="C272">
        <f>TEXT(B272,"mmm")</f>
        <v/>
      </c>
      <c r="D272">
        <f>MONTH(B272)</f>
        <v/>
      </c>
      <c r="E272">
        <f>ROUNDUP(MONTH(B272)/3,0)</f>
        <v/>
      </c>
      <c r="F272">
        <f>YEAR(B272)</f>
        <v/>
      </c>
    </row>
    <row r="273">
      <c r="A273">
        <f>INT(B273)</f>
        <v/>
      </c>
      <c r="B273" s="37" t="n">
        <v>45929</v>
      </c>
      <c r="C273">
        <f>TEXT(B273,"mmm")</f>
        <v/>
      </c>
      <c r="D273">
        <f>MONTH(B273)</f>
        <v/>
      </c>
      <c r="E273">
        <f>ROUNDUP(MONTH(B273)/3,0)</f>
        <v/>
      </c>
      <c r="F273">
        <f>YEAR(B273)</f>
        <v/>
      </c>
    </row>
    <row r="274">
      <c r="A274">
        <f>INT(B274)</f>
        <v/>
      </c>
      <c r="B274" s="37" t="n">
        <v>45930</v>
      </c>
      <c r="C274">
        <f>TEXT(B274,"mmm")</f>
        <v/>
      </c>
      <c r="D274">
        <f>MONTH(B274)</f>
        <v/>
      </c>
      <c r="E274">
        <f>ROUNDUP(MONTH(B274)/3,0)</f>
        <v/>
      </c>
      <c r="F274">
        <f>YEAR(B274)</f>
        <v/>
      </c>
    </row>
    <row r="275">
      <c r="A275">
        <f>INT(B275)</f>
        <v/>
      </c>
      <c r="B275" s="37" t="n">
        <v>45931</v>
      </c>
      <c r="C275">
        <f>TEXT(B275,"mmm")</f>
        <v/>
      </c>
      <c r="D275">
        <f>MONTH(B275)</f>
        <v/>
      </c>
      <c r="E275">
        <f>ROUNDUP(MONTH(B275)/3,0)</f>
        <v/>
      </c>
      <c r="F275">
        <f>YEAR(B275)</f>
        <v/>
      </c>
    </row>
    <row r="276">
      <c r="A276">
        <f>INT(B276)</f>
        <v/>
      </c>
      <c r="B276" s="37" t="n">
        <v>45932</v>
      </c>
      <c r="C276">
        <f>TEXT(B276,"mmm")</f>
        <v/>
      </c>
      <c r="D276">
        <f>MONTH(B276)</f>
        <v/>
      </c>
      <c r="E276">
        <f>ROUNDUP(MONTH(B276)/3,0)</f>
        <v/>
      </c>
      <c r="F276">
        <f>YEAR(B276)</f>
        <v/>
      </c>
    </row>
    <row r="277">
      <c r="A277">
        <f>INT(B277)</f>
        <v/>
      </c>
      <c r="B277" s="37" t="n">
        <v>45933</v>
      </c>
      <c r="C277">
        <f>TEXT(B277,"mmm")</f>
        <v/>
      </c>
      <c r="D277">
        <f>MONTH(B277)</f>
        <v/>
      </c>
      <c r="E277">
        <f>ROUNDUP(MONTH(B277)/3,0)</f>
        <v/>
      </c>
      <c r="F277">
        <f>YEAR(B277)</f>
        <v/>
      </c>
    </row>
    <row r="278">
      <c r="A278">
        <f>INT(B278)</f>
        <v/>
      </c>
      <c r="B278" s="37" t="n">
        <v>45934</v>
      </c>
      <c r="C278">
        <f>TEXT(B278,"mmm")</f>
        <v/>
      </c>
      <c r="D278">
        <f>MONTH(B278)</f>
        <v/>
      </c>
      <c r="E278">
        <f>ROUNDUP(MONTH(B278)/3,0)</f>
        <v/>
      </c>
      <c r="F278">
        <f>YEAR(B278)</f>
        <v/>
      </c>
    </row>
    <row r="279">
      <c r="A279">
        <f>INT(B279)</f>
        <v/>
      </c>
      <c r="B279" s="37" t="n">
        <v>45935</v>
      </c>
      <c r="C279">
        <f>TEXT(B279,"mmm")</f>
        <v/>
      </c>
      <c r="D279">
        <f>MONTH(B279)</f>
        <v/>
      </c>
      <c r="E279">
        <f>ROUNDUP(MONTH(B279)/3,0)</f>
        <v/>
      </c>
      <c r="F279">
        <f>YEAR(B279)</f>
        <v/>
      </c>
    </row>
    <row r="280">
      <c r="A280">
        <f>INT(B280)</f>
        <v/>
      </c>
      <c r="B280" s="37" t="n">
        <v>45936</v>
      </c>
      <c r="C280">
        <f>TEXT(B280,"mmm")</f>
        <v/>
      </c>
      <c r="D280">
        <f>MONTH(B280)</f>
        <v/>
      </c>
      <c r="E280">
        <f>ROUNDUP(MONTH(B280)/3,0)</f>
        <v/>
      </c>
      <c r="F280">
        <f>YEAR(B280)</f>
        <v/>
      </c>
    </row>
    <row r="281">
      <c r="A281">
        <f>INT(B281)</f>
        <v/>
      </c>
      <c r="B281" s="37" t="n">
        <v>45937</v>
      </c>
      <c r="C281">
        <f>TEXT(B281,"mmm")</f>
        <v/>
      </c>
      <c r="D281">
        <f>MONTH(B281)</f>
        <v/>
      </c>
      <c r="E281">
        <f>ROUNDUP(MONTH(B281)/3,0)</f>
        <v/>
      </c>
      <c r="F281">
        <f>YEAR(B281)</f>
        <v/>
      </c>
    </row>
    <row r="282">
      <c r="A282">
        <f>INT(B282)</f>
        <v/>
      </c>
      <c r="B282" s="37" t="n">
        <v>45938</v>
      </c>
      <c r="C282">
        <f>TEXT(B282,"mmm")</f>
        <v/>
      </c>
      <c r="D282">
        <f>MONTH(B282)</f>
        <v/>
      </c>
      <c r="E282">
        <f>ROUNDUP(MONTH(B282)/3,0)</f>
        <v/>
      </c>
      <c r="F282">
        <f>YEAR(B282)</f>
        <v/>
      </c>
    </row>
    <row r="283">
      <c r="A283">
        <f>INT(B283)</f>
        <v/>
      </c>
      <c r="B283" s="37" t="n">
        <v>45939</v>
      </c>
      <c r="C283">
        <f>TEXT(B283,"mmm")</f>
        <v/>
      </c>
      <c r="D283">
        <f>MONTH(B283)</f>
        <v/>
      </c>
      <c r="E283">
        <f>ROUNDUP(MONTH(B283)/3,0)</f>
        <v/>
      </c>
      <c r="F283">
        <f>YEAR(B283)</f>
        <v/>
      </c>
    </row>
    <row r="284">
      <c r="A284">
        <f>INT(B284)</f>
        <v/>
      </c>
      <c r="B284" s="37" t="n">
        <v>45940</v>
      </c>
      <c r="C284">
        <f>TEXT(B284,"mmm")</f>
        <v/>
      </c>
      <c r="D284">
        <f>MONTH(B284)</f>
        <v/>
      </c>
      <c r="E284">
        <f>ROUNDUP(MONTH(B284)/3,0)</f>
        <v/>
      </c>
      <c r="F284">
        <f>YEAR(B284)</f>
        <v/>
      </c>
    </row>
    <row r="285">
      <c r="A285">
        <f>INT(B285)</f>
        <v/>
      </c>
      <c r="B285" s="37" t="n">
        <v>45941</v>
      </c>
      <c r="C285">
        <f>TEXT(B285,"mmm")</f>
        <v/>
      </c>
      <c r="D285">
        <f>MONTH(B285)</f>
        <v/>
      </c>
      <c r="E285">
        <f>ROUNDUP(MONTH(B285)/3,0)</f>
        <v/>
      </c>
      <c r="F285">
        <f>YEAR(B285)</f>
        <v/>
      </c>
    </row>
    <row r="286">
      <c r="A286">
        <f>INT(B286)</f>
        <v/>
      </c>
      <c r="B286" s="37" t="n">
        <v>45942</v>
      </c>
      <c r="C286">
        <f>TEXT(B286,"mmm")</f>
        <v/>
      </c>
      <c r="D286">
        <f>MONTH(B286)</f>
        <v/>
      </c>
      <c r="E286">
        <f>ROUNDUP(MONTH(B286)/3,0)</f>
        <v/>
      </c>
      <c r="F286">
        <f>YEAR(B286)</f>
        <v/>
      </c>
    </row>
    <row r="287">
      <c r="A287">
        <f>INT(B287)</f>
        <v/>
      </c>
      <c r="B287" s="37" t="n">
        <v>45943</v>
      </c>
      <c r="C287">
        <f>TEXT(B287,"mmm")</f>
        <v/>
      </c>
      <c r="D287">
        <f>MONTH(B287)</f>
        <v/>
      </c>
      <c r="E287">
        <f>ROUNDUP(MONTH(B287)/3,0)</f>
        <v/>
      </c>
      <c r="F287">
        <f>YEAR(B287)</f>
        <v/>
      </c>
    </row>
    <row r="288">
      <c r="A288">
        <f>INT(B288)</f>
        <v/>
      </c>
      <c r="B288" s="37" t="n">
        <v>45944</v>
      </c>
      <c r="C288">
        <f>TEXT(B288,"mmm")</f>
        <v/>
      </c>
      <c r="D288">
        <f>MONTH(B288)</f>
        <v/>
      </c>
      <c r="E288">
        <f>ROUNDUP(MONTH(B288)/3,0)</f>
        <v/>
      </c>
      <c r="F288">
        <f>YEAR(B288)</f>
        <v/>
      </c>
    </row>
    <row r="289">
      <c r="A289">
        <f>INT(B289)</f>
        <v/>
      </c>
      <c r="B289" s="37" t="n">
        <v>45945</v>
      </c>
      <c r="C289">
        <f>TEXT(B289,"mmm")</f>
        <v/>
      </c>
      <c r="D289">
        <f>MONTH(B289)</f>
        <v/>
      </c>
      <c r="E289">
        <f>ROUNDUP(MONTH(B289)/3,0)</f>
        <v/>
      </c>
      <c r="F289">
        <f>YEAR(B289)</f>
        <v/>
      </c>
    </row>
    <row r="290">
      <c r="A290">
        <f>INT(B290)</f>
        <v/>
      </c>
      <c r="B290" s="37" t="n">
        <v>45946</v>
      </c>
      <c r="C290">
        <f>TEXT(B290,"mmm")</f>
        <v/>
      </c>
      <c r="D290">
        <f>MONTH(B290)</f>
        <v/>
      </c>
      <c r="E290">
        <f>ROUNDUP(MONTH(B290)/3,0)</f>
        <v/>
      </c>
      <c r="F290">
        <f>YEAR(B290)</f>
        <v/>
      </c>
    </row>
    <row r="291">
      <c r="A291">
        <f>INT(B291)</f>
        <v/>
      </c>
      <c r="B291" s="37" t="n">
        <v>45947</v>
      </c>
      <c r="C291">
        <f>TEXT(B291,"mmm")</f>
        <v/>
      </c>
      <c r="D291">
        <f>MONTH(B291)</f>
        <v/>
      </c>
      <c r="E291">
        <f>ROUNDUP(MONTH(B291)/3,0)</f>
        <v/>
      </c>
      <c r="F291">
        <f>YEAR(B291)</f>
        <v/>
      </c>
    </row>
    <row r="292">
      <c r="A292">
        <f>INT(B292)</f>
        <v/>
      </c>
      <c r="B292" s="37" t="n">
        <v>45948</v>
      </c>
      <c r="C292">
        <f>TEXT(B292,"mmm")</f>
        <v/>
      </c>
      <c r="D292">
        <f>MONTH(B292)</f>
        <v/>
      </c>
      <c r="E292">
        <f>ROUNDUP(MONTH(B292)/3,0)</f>
        <v/>
      </c>
      <c r="F292">
        <f>YEAR(B292)</f>
        <v/>
      </c>
    </row>
    <row r="293">
      <c r="A293">
        <f>INT(B293)</f>
        <v/>
      </c>
      <c r="B293" s="37" t="n">
        <v>45949</v>
      </c>
      <c r="C293">
        <f>TEXT(B293,"mmm")</f>
        <v/>
      </c>
      <c r="D293">
        <f>MONTH(B293)</f>
        <v/>
      </c>
      <c r="E293">
        <f>ROUNDUP(MONTH(B293)/3,0)</f>
        <v/>
      </c>
      <c r="F293">
        <f>YEAR(B293)</f>
        <v/>
      </c>
    </row>
    <row r="294">
      <c r="A294">
        <f>INT(B294)</f>
        <v/>
      </c>
      <c r="B294" s="37" t="n">
        <v>45950</v>
      </c>
      <c r="C294">
        <f>TEXT(B294,"mmm")</f>
        <v/>
      </c>
      <c r="D294">
        <f>MONTH(B294)</f>
        <v/>
      </c>
      <c r="E294">
        <f>ROUNDUP(MONTH(B294)/3,0)</f>
        <v/>
      </c>
      <c r="F294">
        <f>YEAR(B294)</f>
        <v/>
      </c>
    </row>
    <row r="295">
      <c r="A295">
        <f>INT(B295)</f>
        <v/>
      </c>
      <c r="B295" s="37" t="n">
        <v>45951</v>
      </c>
      <c r="C295">
        <f>TEXT(B295,"mmm")</f>
        <v/>
      </c>
      <c r="D295">
        <f>MONTH(B295)</f>
        <v/>
      </c>
      <c r="E295">
        <f>ROUNDUP(MONTH(B295)/3,0)</f>
        <v/>
      </c>
      <c r="F295">
        <f>YEAR(B295)</f>
        <v/>
      </c>
    </row>
    <row r="296">
      <c r="A296">
        <f>INT(B296)</f>
        <v/>
      </c>
      <c r="B296" s="37" t="n">
        <v>45952</v>
      </c>
      <c r="C296">
        <f>TEXT(B296,"mmm")</f>
        <v/>
      </c>
      <c r="D296">
        <f>MONTH(B296)</f>
        <v/>
      </c>
      <c r="E296">
        <f>ROUNDUP(MONTH(B296)/3,0)</f>
        <v/>
      </c>
      <c r="F296">
        <f>YEAR(B296)</f>
        <v/>
      </c>
    </row>
    <row r="297">
      <c r="A297">
        <f>INT(B297)</f>
        <v/>
      </c>
      <c r="B297" s="37" t="n">
        <v>45953</v>
      </c>
      <c r="C297">
        <f>TEXT(B297,"mmm")</f>
        <v/>
      </c>
      <c r="D297">
        <f>MONTH(B297)</f>
        <v/>
      </c>
      <c r="E297">
        <f>ROUNDUP(MONTH(B297)/3,0)</f>
        <v/>
      </c>
      <c r="F297">
        <f>YEAR(B297)</f>
        <v/>
      </c>
    </row>
    <row r="298">
      <c r="A298">
        <f>INT(B298)</f>
        <v/>
      </c>
      <c r="B298" s="37" t="n">
        <v>45954</v>
      </c>
      <c r="C298">
        <f>TEXT(B298,"mmm")</f>
        <v/>
      </c>
      <c r="D298">
        <f>MONTH(B298)</f>
        <v/>
      </c>
      <c r="E298">
        <f>ROUNDUP(MONTH(B298)/3,0)</f>
        <v/>
      </c>
      <c r="F298">
        <f>YEAR(B298)</f>
        <v/>
      </c>
    </row>
    <row r="299">
      <c r="A299">
        <f>INT(B299)</f>
        <v/>
      </c>
      <c r="B299" s="37" t="n">
        <v>45955</v>
      </c>
      <c r="C299">
        <f>TEXT(B299,"mmm")</f>
        <v/>
      </c>
      <c r="D299">
        <f>MONTH(B299)</f>
        <v/>
      </c>
      <c r="E299">
        <f>ROUNDUP(MONTH(B299)/3,0)</f>
        <v/>
      </c>
      <c r="F299">
        <f>YEAR(B299)</f>
        <v/>
      </c>
    </row>
    <row r="300">
      <c r="A300">
        <f>INT(B300)</f>
        <v/>
      </c>
      <c r="B300" s="37" t="n">
        <v>45956</v>
      </c>
      <c r="C300">
        <f>TEXT(B300,"mmm")</f>
        <v/>
      </c>
      <c r="D300">
        <f>MONTH(B300)</f>
        <v/>
      </c>
      <c r="E300">
        <f>ROUNDUP(MONTH(B300)/3,0)</f>
        <v/>
      </c>
      <c r="F300">
        <f>YEAR(B300)</f>
        <v/>
      </c>
    </row>
    <row r="301">
      <c r="A301">
        <f>INT(B301)</f>
        <v/>
      </c>
      <c r="B301" s="37" t="n">
        <v>45957</v>
      </c>
      <c r="C301">
        <f>TEXT(B301,"mmm")</f>
        <v/>
      </c>
      <c r="D301">
        <f>MONTH(B301)</f>
        <v/>
      </c>
      <c r="E301">
        <f>ROUNDUP(MONTH(B301)/3,0)</f>
        <v/>
      </c>
      <c r="F301">
        <f>YEAR(B301)</f>
        <v/>
      </c>
    </row>
    <row r="302">
      <c r="A302">
        <f>INT(B302)</f>
        <v/>
      </c>
      <c r="B302" s="37" t="n">
        <v>45958</v>
      </c>
      <c r="C302">
        <f>TEXT(B302,"mmm")</f>
        <v/>
      </c>
      <c r="D302">
        <f>MONTH(B302)</f>
        <v/>
      </c>
      <c r="E302">
        <f>ROUNDUP(MONTH(B302)/3,0)</f>
        <v/>
      </c>
      <c r="F302">
        <f>YEAR(B302)</f>
        <v/>
      </c>
    </row>
    <row r="303">
      <c r="A303">
        <f>INT(B303)</f>
        <v/>
      </c>
      <c r="B303" s="37" t="n">
        <v>45959</v>
      </c>
      <c r="C303">
        <f>TEXT(B303,"mmm")</f>
        <v/>
      </c>
      <c r="D303">
        <f>MONTH(B303)</f>
        <v/>
      </c>
      <c r="E303">
        <f>ROUNDUP(MONTH(B303)/3,0)</f>
        <v/>
      </c>
      <c r="F303">
        <f>YEAR(B303)</f>
        <v/>
      </c>
    </row>
    <row r="304">
      <c r="A304">
        <f>INT(B304)</f>
        <v/>
      </c>
      <c r="B304" s="37" t="n">
        <v>45960</v>
      </c>
      <c r="C304">
        <f>TEXT(B304,"mmm")</f>
        <v/>
      </c>
      <c r="D304">
        <f>MONTH(B304)</f>
        <v/>
      </c>
      <c r="E304">
        <f>ROUNDUP(MONTH(B304)/3,0)</f>
        <v/>
      </c>
      <c r="F304">
        <f>YEAR(B304)</f>
        <v/>
      </c>
    </row>
    <row r="305">
      <c r="A305">
        <f>INT(B305)</f>
        <v/>
      </c>
      <c r="B305" s="37" t="n">
        <v>45961</v>
      </c>
      <c r="C305">
        <f>TEXT(B305,"mmm")</f>
        <v/>
      </c>
      <c r="D305">
        <f>MONTH(B305)</f>
        <v/>
      </c>
      <c r="E305">
        <f>ROUNDUP(MONTH(B305)/3,0)</f>
        <v/>
      </c>
      <c r="F305">
        <f>YEAR(B305)</f>
        <v/>
      </c>
    </row>
    <row r="306">
      <c r="A306">
        <f>INT(B306)</f>
        <v/>
      </c>
      <c r="B306" s="37" t="n">
        <v>45962</v>
      </c>
      <c r="C306">
        <f>TEXT(B306,"mmm")</f>
        <v/>
      </c>
      <c r="D306">
        <f>MONTH(B306)</f>
        <v/>
      </c>
      <c r="E306">
        <f>ROUNDUP(MONTH(B306)/3,0)</f>
        <v/>
      </c>
      <c r="F306">
        <f>YEAR(B306)</f>
        <v/>
      </c>
    </row>
    <row r="307">
      <c r="A307">
        <f>INT(B307)</f>
        <v/>
      </c>
      <c r="B307" s="37" t="n">
        <v>45963</v>
      </c>
      <c r="C307">
        <f>TEXT(B307,"mmm")</f>
        <v/>
      </c>
      <c r="D307">
        <f>MONTH(B307)</f>
        <v/>
      </c>
      <c r="E307">
        <f>ROUNDUP(MONTH(B307)/3,0)</f>
        <v/>
      </c>
      <c r="F307">
        <f>YEAR(B307)</f>
        <v/>
      </c>
    </row>
    <row r="308">
      <c r="A308">
        <f>INT(B308)</f>
        <v/>
      </c>
      <c r="B308" s="37" t="n">
        <v>45964</v>
      </c>
      <c r="C308">
        <f>TEXT(B308,"mmm")</f>
        <v/>
      </c>
      <c r="D308">
        <f>MONTH(B308)</f>
        <v/>
      </c>
      <c r="E308">
        <f>ROUNDUP(MONTH(B308)/3,0)</f>
        <v/>
      </c>
      <c r="F308">
        <f>YEAR(B308)</f>
        <v/>
      </c>
    </row>
    <row r="309">
      <c r="A309">
        <f>INT(B309)</f>
        <v/>
      </c>
      <c r="B309" s="37" t="n">
        <v>45965</v>
      </c>
      <c r="C309">
        <f>TEXT(B309,"mmm")</f>
        <v/>
      </c>
      <c r="D309">
        <f>MONTH(B309)</f>
        <v/>
      </c>
      <c r="E309">
        <f>ROUNDUP(MONTH(B309)/3,0)</f>
        <v/>
      </c>
      <c r="F309">
        <f>YEAR(B309)</f>
        <v/>
      </c>
    </row>
    <row r="310">
      <c r="A310">
        <f>INT(B310)</f>
        <v/>
      </c>
      <c r="B310" s="37" t="n">
        <v>45966</v>
      </c>
      <c r="C310">
        <f>TEXT(B310,"mmm")</f>
        <v/>
      </c>
      <c r="D310">
        <f>MONTH(B310)</f>
        <v/>
      </c>
      <c r="E310">
        <f>ROUNDUP(MONTH(B310)/3,0)</f>
        <v/>
      </c>
      <c r="F310">
        <f>YEAR(B310)</f>
        <v/>
      </c>
    </row>
    <row r="311">
      <c r="A311">
        <f>INT(B311)</f>
        <v/>
      </c>
      <c r="B311" s="37" t="n">
        <v>45967</v>
      </c>
      <c r="C311">
        <f>TEXT(B311,"mmm")</f>
        <v/>
      </c>
      <c r="D311">
        <f>MONTH(B311)</f>
        <v/>
      </c>
      <c r="E311">
        <f>ROUNDUP(MONTH(B311)/3,0)</f>
        <v/>
      </c>
      <c r="F311">
        <f>YEAR(B311)</f>
        <v/>
      </c>
    </row>
    <row r="312">
      <c r="A312">
        <f>INT(B312)</f>
        <v/>
      </c>
      <c r="B312" s="37" t="n">
        <v>45968</v>
      </c>
      <c r="C312">
        <f>TEXT(B312,"mmm")</f>
        <v/>
      </c>
      <c r="D312">
        <f>MONTH(B312)</f>
        <v/>
      </c>
      <c r="E312">
        <f>ROUNDUP(MONTH(B312)/3,0)</f>
        <v/>
      </c>
      <c r="F312">
        <f>YEAR(B312)</f>
        <v/>
      </c>
    </row>
    <row r="313">
      <c r="A313">
        <f>INT(B313)</f>
        <v/>
      </c>
      <c r="B313" s="37" t="n">
        <v>45969</v>
      </c>
      <c r="C313">
        <f>TEXT(B313,"mmm")</f>
        <v/>
      </c>
      <c r="D313">
        <f>MONTH(B313)</f>
        <v/>
      </c>
      <c r="E313">
        <f>ROUNDUP(MONTH(B313)/3,0)</f>
        <v/>
      </c>
      <c r="F313">
        <f>YEAR(B313)</f>
        <v/>
      </c>
    </row>
    <row r="314">
      <c r="A314">
        <f>INT(B314)</f>
        <v/>
      </c>
      <c r="B314" s="37" t="n">
        <v>45970</v>
      </c>
      <c r="C314">
        <f>TEXT(B314,"mmm")</f>
        <v/>
      </c>
      <c r="D314">
        <f>MONTH(B314)</f>
        <v/>
      </c>
      <c r="E314">
        <f>ROUNDUP(MONTH(B314)/3,0)</f>
        <v/>
      </c>
      <c r="F314">
        <f>YEAR(B314)</f>
        <v/>
      </c>
    </row>
    <row r="315">
      <c r="A315">
        <f>INT(B315)</f>
        <v/>
      </c>
      <c r="B315" s="37" t="n">
        <v>45971</v>
      </c>
      <c r="C315">
        <f>TEXT(B315,"mmm")</f>
        <v/>
      </c>
      <c r="D315">
        <f>MONTH(B315)</f>
        <v/>
      </c>
      <c r="E315">
        <f>ROUNDUP(MONTH(B315)/3,0)</f>
        <v/>
      </c>
      <c r="F315">
        <f>YEAR(B315)</f>
        <v/>
      </c>
    </row>
    <row r="316">
      <c r="A316">
        <f>INT(B316)</f>
        <v/>
      </c>
      <c r="B316" s="37" t="n">
        <v>45972</v>
      </c>
      <c r="C316">
        <f>TEXT(B316,"mmm")</f>
        <v/>
      </c>
      <c r="D316">
        <f>MONTH(B316)</f>
        <v/>
      </c>
      <c r="E316">
        <f>ROUNDUP(MONTH(B316)/3,0)</f>
        <v/>
      </c>
      <c r="F316">
        <f>YEAR(B316)</f>
        <v/>
      </c>
    </row>
    <row r="317">
      <c r="A317">
        <f>INT(B317)</f>
        <v/>
      </c>
      <c r="B317" s="37" t="n">
        <v>45973</v>
      </c>
      <c r="C317">
        <f>TEXT(B317,"mmm")</f>
        <v/>
      </c>
      <c r="D317">
        <f>MONTH(B317)</f>
        <v/>
      </c>
      <c r="E317">
        <f>ROUNDUP(MONTH(B317)/3,0)</f>
        <v/>
      </c>
      <c r="F317">
        <f>YEAR(B317)</f>
        <v/>
      </c>
    </row>
    <row r="318">
      <c r="A318">
        <f>INT(B318)</f>
        <v/>
      </c>
      <c r="B318" s="37" t="n">
        <v>45974</v>
      </c>
      <c r="C318">
        <f>TEXT(B318,"mmm")</f>
        <v/>
      </c>
      <c r="D318">
        <f>MONTH(B318)</f>
        <v/>
      </c>
      <c r="E318">
        <f>ROUNDUP(MONTH(B318)/3,0)</f>
        <v/>
      </c>
      <c r="F318">
        <f>YEAR(B318)</f>
        <v/>
      </c>
    </row>
    <row r="319">
      <c r="A319">
        <f>INT(B319)</f>
        <v/>
      </c>
      <c r="B319" s="37" t="n">
        <v>45975</v>
      </c>
      <c r="C319">
        <f>TEXT(B319,"mmm")</f>
        <v/>
      </c>
      <c r="D319">
        <f>MONTH(B319)</f>
        <v/>
      </c>
      <c r="E319">
        <f>ROUNDUP(MONTH(B319)/3,0)</f>
        <v/>
      </c>
      <c r="F319">
        <f>YEAR(B319)</f>
        <v/>
      </c>
    </row>
    <row r="320">
      <c r="A320">
        <f>INT(B320)</f>
        <v/>
      </c>
      <c r="B320" s="37" t="n">
        <v>45976</v>
      </c>
      <c r="C320">
        <f>TEXT(B320,"mmm")</f>
        <v/>
      </c>
      <c r="D320">
        <f>MONTH(B320)</f>
        <v/>
      </c>
      <c r="E320">
        <f>ROUNDUP(MONTH(B320)/3,0)</f>
        <v/>
      </c>
      <c r="F320">
        <f>YEAR(B320)</f>
        <v/>
      </c>
    </row>
    <row r="321">
      <c r="A321">
        <f>INT(B321)</f>
        <v/>
      </c>
      <c r="B321" s="37" t="n">
        <v>45977</v>
      </c>
      <c r="C321">
        <f>TEXT(B321,"mmm")</f>
        <v/>
      </c>
      <c r="D321">
        <f>MONTH(B321)</f>
        <v/>
      </c>
      <c r="E321">
        <f>ROUNDUP(MONTH(B321)/3,0)</f>
        <v/>
      </c>
      <c r="F321">
        <f>YEAR(B321)</f>
        <v/>
      </c>
    </row>
    <row r="322">
      <c r="A322">
        <f>INT(B322)</f>
        <v/>
      </c>
      <c r="B322" s="37" t="n">
        <v>45978</v>
      </c>
      <c r="C322">
        <f>TEXT(B322,"mmm")</f>
        <v/>
      </c>
      <c r="D322">
        <f>MONTH(B322)</f>
        <v/>
      </c>
      <c r="E322">
        <f>ROUNDUP(MONTH(B322)/3,0)</f>
        <v/>
      </c>
      <c r="F322">
        <f>YEAR(B322)</f>
        <v/>
      </c>
    </row>
    <row r="323">
      <c r="A323">
        <f>INT(B323)</f>
        <v/>
      </c>
      <c r="B323" s="37" t="n">
        <v>45979</v>
      </c>
      <c r="C323">
        <f>TEXT(B323,"mmm")</f>
        <v/>
      </c>
      <c r="D323">
        <f>MONTH(B323)</f>
        <v/>
      </c>
      <c r="E323">
        <f>ROUNDUP(MONTH(B323)/3,0)</f>
        <v/>
      </c>
      <c r="F323">
        <f>YEAR(B323)</f>
        <v/>
      </c>
    </row>
    <row r="324">
      <c r="A324">
        <f>INT(B324)</f>
        <v/>
      </c>
      <c r="B324" s="37" t="n">
        <v>45980</v>
      </c>
      <c r="C324">
        <f>TEXT(B324,"mmm")</f>
        <v/>
      </c>
      <c r="D324">
        <f>MONTH(B324)</f>
        <v/>
      </c>
      <c r="E324">
        <f>ROUNDUP(MONTH(B324)/3,0)</f>
        <v/>
      </c>
      <c r="F324">
        <f>YEAR(B324)</f>
        <v/>
      </c>
    </row>
    <row r="325">
      <c r="A325">
        <f>INT(B325)</f>
        <v/>
      </c>
      <c r="B325" s="37" t="n">
        <v>45981</v>
      </c>
      <c r="C325">
        <f>TEXT(B325,"mmm")</f>
        <v/>
      </c>
      <c r="D325">
        <f>MONTH(B325)</f>
        <v/>
      </c>
      <c r="E325">
        <f>ROUNDUP(MONTH(B325)/3,0)</f>
        <v/>
      </c>
      <c r="F325">
        <f>YEAR(B325)</f>
        <v/>
      </c>
    </row>
    <row r="326">
      <c r="A326">
        <f>INT(B326)</f>
        <v/>
      </c>
      <c r="B326" s="37" t="n">
        <v>45982</v>
      </c>
      <c r="C326">
        <f>TEXT(B326,"mmm")</f>
        <v/>
      </c>
      <c r="D326">
        <f>MONTH(B326)</f>
        <v/>
      </c>
      <c r="E326">
        <f>ROUNDUP(MONTH(B326)/3,0)</f>
        <v/>
      </c>
      <c r="F326">
        <f>YEAR(B326)</f>
        <v/>
      </c>
    </row>
    <row r="327">
      <c r="A327">
        <f>INT(B327)</f>
        <v/>
      </c>
      <c r="B327" s="37" t="n">
        <v>45983</v>
      </c>
      <c r="C327">
        <f>TEXT(B327,"mmm")</f>
        <v/>
      </c>
      <c r="D327">
        <f>MONTH(B327)</f>
        <v/>
      </c>
      <c r="E327">
        <f>ROUNDUP(MONTH(B327)/3,0)</f>
        <v/>
      </c>
      <c r="F327">
        <f>YEAR(B327)</f>
        <v/>
      </c>
    </row>
    <row r="328">
      <c r="A328">
        <f>INT(B328)</f>
        <v/>
      </c>
      <c r="B328" s="37" t="n">
        <v>45984</v>
      </c>
      <c r="C328">
        <f>TEXT(B328,"mmm")</f>
        <v/>
      </c>
      <c r="D328">
        <f>MONTH(B328)</f>
        <v/>
      </c>
      <c r="E328">
        <f>ROUNDUP(MONTH(B328)/3,0)</f>
        <v/>
      </c>
      <c r="F328">
        <f>YEAR(B328)</f>
        <v/>
      </c>
    </row>
    <row r="329">
      <c r="A329">
        <f>INT(B329)</f>
        <v/>
      </c>
      <c r="B329" s="37" t="n">
        <v>45985</v>
      </c>
      <c r="C329">
        <f>TEXT(B329,"mmm")</f>
        <v/>
      </c>
      <c r="D329">
        <f>MONTH(B329)</f>
        <v/>
      </c>
      <c r="E329">
        <f>ROUNDUP(MONTH(B329)/3,0)</f>
        <v/>
      </c>
      <c r="F329">
        <f>YEAR(B329)</f>
        <v/>
      </c>
    </row>
    <row r="330">
      <c r="A330">
        <f>INT(B330)</f>
        <v/>
      </c>
      <c r="B330" s="37" t="n">
        <v>45986</v>
      </c>
      <c r="C330">
        <f>TEXT(B330,"mmm")</f>
        <v/>
      </c>
      <c r="D330">
        <f>MONTH(B330)</f>
        <v/>
      </c>
      <c r="E330">
        <f>ROUNDUP(MONTH(B330)/3,0)</f>
        <v/>
      </c>
      <c r="F330">
        <f>YEAR(B330)</f>
        <v/>
      </c>
    </row>
    <row r="331">
      <c r="A331">
        <f>INT(B331)</f>
        <v/>
      </c>
      <c r="B331" s="37" t="n">
        <v>45987</v>
      </c>
      <c r="C331">
        <f>TEXT(B331,"mmm")</f>
        <v/>
      </c>
      <c r="D331">
        <f>MONTH(B331)</f>
        <v/>
      </c>
      <c r="E331">
        <f>ROUNDUP(MONTH(B331)/3,0)</f>
        <v/>
      </c>
      <c r="F331">
        <f>YEAR(B331)</f>
        <v/>
      </c>
    </row>
    <row r="332">
      <c r="A332">
        <f>INT(B332)</f>
        <v/>
      </c>
      <c r="B332" s="37" t="n">
        <v>45988</v>
      </c>
      <c r="C332">
        <f>TEXT(B332,"mmm")</f>
        <v/>
      </c>
      <c r="D332">
        <f>MONTH(B332)</f>
        <v/>
      </c>
      <c r="E332">
        <f>ROUNDUP(MONTH(B332)/3,0)</f>
        <v/>
      </c>
      <c r="F332">
        <f>YEAR(B332)</f>
        <v/>
      </c>
    </row>
    <row r="333">
      <c r="A333">
        <f>INT(B333)</f>
        <v/>
      </c>
      <c r="B333" s="37" t="n">
        <v>45989</v>
      </c>
      <c r="C333">
        <f>TEXT(B333,"mmm")</f>
        <v/>
      </c>
      <c r="D333">
        <f>MONTH(B333)</f>
        <v/>
      </c>
      <c r="E333">
        <f>ROUNDUP(MONTH(B333)/3,0)</f>
        <v/>
      </c>
      <c r="F333">
        <f>YEAR(B333)</f>
        <v/>
      </c>
    </row>
    <row r="334">
      <c r="A334">
        <f>INT(B334)</f>
        <v/>
      </c>
      <c r="B334" s="37" t="n">
        <v>45990</v>
      </c>
      <c r="C334">
        <f>TEXT(B334,"mmm")</f>
        <v/>
      </c>
      <c r="D334">
        <f>MONTH(B334)</f>
        <v/>
      </c>
      <c r="E334">
        <f>ROUNDUP(MONTH(B334)/3,0)</f>
        <v/>
      </c>
      <c r="F334">
        <f>YEAR(B334)</f>
        <v/>
      </c>
    </row>
    <row r="335">
      <c r="A335">
        <f>INT(B335)</f>
        <v/>
      </c>
      <c r="B335" s="37" t="n">
        <v>45991</v>
      </c>
      <c r="C335">
        <f>TEXT(B335,"mmm")</f>
        <v/>
      </c>
      <c r="D335">
        <f>MONTH(B335)</f>
        <v/>
      </c>
      <c r="E335">
        <f>ROUNDUP(MONTH(B335)/3,0)</f>
        <v/>
      </c>
      <c r="F335">
        <f>YEAR(B335)</f>
        <v/>
      </c>
    </row>
    <row r="336">
      <c r="A336">
        <f>INT(B336)</f>
        <v/>
      </c>
      <c r="B336" s="37" t="n">
        <v>45992</v>
      </c>
      <c r="C336">
        <f>TEXT(B336,"mmm")</f>
        <v/>
      </c>
      <c r="D336">
        <f>MONTH(B336)</f>
        <v/>
      </c>
      <c r="E336">
        <f>ROUNDUP(MONTH(B336)/3,0)</f>
        <v/>
      </c>
      <c r="F336">
        <f>YEAR(B336)</f>
        <v/>
      </c>
    </row>
    <row r="337">
      <c r="A337">
        <f>INT(B337)</f>
        <v/>
      </c>
      <c r="B337" s="37" t="n">
        <v>45993</v>
      </c>
      <c r="C337">
        <f>TEXT(B337,"mmm")</f>
        <v/>
      </c>
      <c r="D337">
        <f>MONTH(B337)</f>
        <v/>
      </c>
      <c r="E337">
        <f>ROUNDUP(MONTH(B337)/3,0)</f>
        <v/>
      </c>
      <c r="F337">
        <f>YEAR(B337)</f>
        <v/>
      </c>
    </row>
    <row r="338">
      <c r="A338">
        <f>INT(B338)</f>
        <v/>
      </c>
      <c r="B338" s="37" t="n">
        <v>45994</v>
      </c>
      <c r="C338">
        <f>TEXT(B338,"mmm")</f>
        <v/>
      </c>
      <c r="D338">
        <f>MONTH(B338)</f>
        <v/>
      </c>
      <c r="E338">
        <f>ROUNDUP(MONTH(B338)/3,0)</f>
        <v/>
      </c>
      <c r="F338">
        <f>YEAR(B338)</f>
        <v/>
      </c>
    </row>
    <row r="339">
      <c r="A339">
        <f>INT(B339)</f>
        <v/>
      </c>
      <c r="B339" s="37" t="n">
        <v>45995</v>
      </c>
      <c r="C339">
        <f>TEXT(B339,"mmm")</f>
        <v/>
      </c>
      <c r="D339">
        <f>MONTH(B339)</f>
        <v/>
      </c>
      <c r="E339">
        <f>ROUNDUP(MONTH(B339)/3,0)</f>
        <v/>
      </c>
      <c r="F339">
        <f>YEAR(B339)</f>
        <v/>
      </c>
    </row>
    <row r="340">
      <c r="A340">
        <f>INT(B340)</f>
        <v/>
      </c>
      <c r="B340" s="37" t="n">
        <v>45996</v>
      </c>
      <c r="C340">
        <f>TEXT(B340,"mmm")</f>
        <v/>
      </c>
      <c r="D340">
        <f>MONTH(B340)</f>
        <v/>
      </c>
      <c r="E340">
        <f>ROUNDUP(MONTH(B340)/3,0)</f>
        <v/>
      </c>
      <c r="F340">
        <f>YEAR(B340)</f>
        <v/>
      </c>
    </row>
    <row r="341">
      <c r="A341">
        <f>INT(B341)</f>
        <v/>
      </c>
      <c r="B341" s="37" t="n">
        <v>45997</v>
      </c>
      <c r="C341">
        <f>TEXT(B341,"mmm")</f>
        <v/>
      </c>
      <c r="D341">
        <f>MONTH(B341)</f>
        <v/>
      </c>
      <c r="E341">
        <f>ROUNDUP(MONTH(B341)/3,0)</f>
        <v/>
      </c>
      <c r="F341">
        <f>YEAR(B341)</f>
        <v/>
      </c>
    </row>
    <row r="342">
      <c r="A342">
        <f>INT(B342)</f>
        <v/>
      </c>
      <c r="B342" s="37" t="n">
        <v>45998</v>
      </c>
      <c r="C342">
        <f>TEXT(B342,"mmm")</f>
        <v/>
      </c>
      <c r="D342">
        <f>MONTH(B342)</f>
        <v/>
      </c>
      <c r="E342">
        <f>ROUNDUP(MONTH(B342)/3,0)</f>
        <v/>
      </c>
      <c r="F342">
        <f>YEAR(B342)</f>
        <v/>
      </c>
    </row>
    <row r="343">
      <c r="A343">
        <f>INT(B343)</f>
        <v/>
      </c>
      <c r="B343" s="37" t="n">
        <v>45999</v>
      </c>
      <c r="C343">
        <f>TEXT(B343,"mmm")</f>
        <v/>
      </c>
      <c r="D343">
        <f>MONTH(B343)</f>
        <v/>
      </c>
      <c r="E343">
        <f>ROUNDUP(MONTH(B343)/3,0)</f>
        <v/>
      </c>
      <c r="F343">
        <f>YEAR(B343)</f>
        <v/>
      </c>
    </row>
    <row r="344">
      <c r="A344">
        <f>INT(B344)</f>
        <v/>
      </c>
      <c r="B344" s="37" t="n">
        <v>46000</v>
      </c>
      <c r="C344">
        <f>TEXT(B344,"mmm")</f>
        <v/>
      </c>
      <c r="D344">
        <f>MONTH(B344)</f>
        <v/>
      </c>
      <c r="E344">
        <f>ROUNDUP(MONTH(B344)/3,0)</f>
        <v/>
      </c>
      <c r="F344">
        <f>YEAR(B344)</f>
        <v/>
      </c>
    </row>
    <row r="345">
      <c r="A345">
        <f>INT(B345)</f>
        <v/>
      </c>
      <c r="B345" s="37" t="n">
        <v>46001</v>
      </c>
      <c r="C345">
        <f>TEXT(B345,"mmm")</f>
        <v/>
      </c>
      <c r="D345">
        <f>MONTH(B345)</f>
        <v/>
      </c>
      <c r="E345">
        <f>ROUNDUP(MONTH(B345)/3,0)</f>
        <v/>
      </c>
      <c r="F345">
        <f>YEAR(B345)</f>
        <v/>
      </c>
    </row>
    <row r="346">
      <c r="A346">
        <f>INT(B346)</f>
        <v/>
      </c>
      <c r="B346" s="37" t="n">
        <v>46002</v>
      </c>
      <c r="C346">
        <f>TEXT(B346,"mmm")</f>
        <v/>
      </c>
      <c r="D346">
        <f>MONTH(B346)</f>
        <v/>
      </c>
      <c r="E346">
        <f>ROUNDUP(MONTH(B346)/3,0)</f>
        <v/>
      </c>
      <c r="F346">
        <f>YEAR(B346)</f>
        <v/>
      </c>
    </row>
    <row r="347">
      <c r="A347">
        <f>INT(B347)</f>
        <v/>
      </c>
      <c r="B347" s="37" t="n">
        <v>46003</v>
      </c>
      <c r="C347">
        <f>TEXT(B347,"mmm")</f>
        <v/>
      </c>
      <c r="D347">
        <f>MONTH(B347)</f>
        <v/>
      </c>
      <c r="E347">
        <f>ROUNDUP(MONTH(B347)/3,0)</f>
        <v/>
      </c>
      <c r="F347">
        <f>YEAR(B347)</f>
        <v/>
      </c>
    </row>
    <row r="348">
      <c r="A348">
        <f>INT(B348)</f>
        <v/>
      </c>
      <c r="B348" s="37" t="n">
        <v>46004</v>
      </c>
      <c r="C348">
        <f>TEXT(B348,"mmm")</f>
        <v/>
      </c>
      <c r="D348">
        <f>MONTH(B348)</f>
        <v/>
      </c>
      <c r="E348">
        <f>ROUNDUP(MONTH(B348)/3,0)</f>
        <v/>
      </c>
      <c r="F348">
        <f>YEAR(B348)</f>
        <v/>
      </c>
    </row>
    <row r="349">
      <c r="A349">
        <f>INT(B349)</f>
        <v/>
      </c>
      <c r="B349" s="37" t="n">
        <v>46005</v>
      </c>
      <c r="C349">
        <f>TEXT(B349,"mmm")</f>
        <v/>
      </c>
      <c r="D349">
        <f>MONTH(B349)</f>
        <v/>
      </c>
      <c r="E349">
        <f>ROUNDUP(MONTH(B349)/3,0)</f>
        <v/>
      </c>
      <c r="F349">
        <f>YEAR(B349)</f>
        <v/>
      </c>
    </row>
    <row r="350">
      <c r="A350">
        <f>INT(B350)</f>
        <v/>
      </c>
      <c r="B350" s="37" t="n">
        <v>46006</v>
      </c>
      <c r="C350">
        <f>TEXT(B350,"mmm")</f>
        <v/>
      </c>
      <c r="D350">
        <f>MONTH(B350)</f>
        <v/>
      </c>
      <c r="E350">
        <f>ROUNDUP(MONTH(B350)/3,0)</f>
        <v/>
      </c>
      <c r="F350">
        <f>YEAR(B350)</f>
        <v/>
      </c>
    </row>
    <row r="351">
      <c r="A351">
        <f>INT(B351)</f>
        <v/>
      </c>
      <c r="B351" s="37" t="n">
        <v>46007</v>
      </c>
      <c r="C351">
        <f>TEXT(B351,"mmm")</f>
        <v/>
      </c>
      <c r="D351">
        <f>MONTH(B351)</f>
        <v/>
      </c>
      <c r="E351">
        <f>ROUNDUP(MONTH(B351)/3,0)</f>
        <v/>
      </c>
      <c r="F351">
        <f>YEAR(B351)</f>
        <v/>
      </c>
    </row>
    <row r="352">
      <c r="A352">
        <f>INT(B352)</f>
        <v/>
      </c>
      <c r="B352" s="37" t="n">
        <v>46008</v>
      </c>
      <c r="C352">
        <f>TEXT(B352,"mmm")</f>
        <v/>
      </c>
      <c r="D352">
        <f>MONTH(B352)</f>
        <v/>
      </c>
      <c r="E352">
        <f>ROUNDUP(MONTH(B352)/3,0)</f>
        <v/>
      </c>
      <c r="F352">
        <f>YEAR(B352)</f>
        <v/>
      </c>
    </row>
    <row r="353">
      <c r="A353">
        <f>INT(B353)</f>
        <v/>
      </c>
      <c r="B353" s="37" t="n">
        <v>46009</v>
      </c>
      <c r="C353">
        <f>TEXT(B353,"mmm")</f>
        <v/>
      </c>
      <c r="D353">
        <f>MONTH(B353)</f>
        <v/>
      </c>
      <c r="E353">
        <f>ROUNDUP(MONTH(B353)/3,0)</f>
        <v/>
      </c>
      <c r="F353">
        <f>YEAR(B353)</f>
        <v/>
      </c>
    </row>
    <row r="354">
      <c r="A354">
        <f>INT(B354)</f>
        <v/>
      </c>
      <c r="B354" s="37" t="n">
        <v>46010</v>
      </c>
      <c r="C354">
        <f>TEXT(B354,"mmm")</f>
        <v/>
      </c>
      <c r="D354">
        <f>MONTH(B354)</f>
        <v/>
      </c>
      <c r="E354">
        <f>ROUNDUP(MONTH(B354)/3,0)</f>
        <v/>
      </c>
      <c r="F354">
        <f>YEAR(B354)</f>
        <v/>
      </c>
    </row>
    <row r="355">
      <c r="A355">
        <f>INT(B355)</f>
        <v/>
      </c>
      <c r="B355" s="37" t="n">
        <v>46011</v>
      </c>
      <c r="C355">
        <f>TEXT(B355,"mmm")</f>
        <v/>
      </c>
      <c r="D355">
        <f>MONTH(B355)</f>
        <v/>
      </c>
      <c r="E355">
        <f>ROUNDUP(MONTH(B355)/3,0)</f>
        <v/>
      </c>
      <c r="F355">
        <f>YEAR(B355)</f>
        <v/>
      </c>
    </row>
    <row r="356">
      <c r="A356">
        <f>INT(B356)</f>
        <v/>
      </c>
      <c r="B356" s="37" t="n">
        <v>46012</v>
      </c>
      <c r="C356">
        <f>TEXT(B356,"mmm")</f>
        <v/>
      </c>
      <c r="D356">
        <f>MONTH(B356)</f>
        <v/>
      </c>
      <c r="E356">
        <f>ROUNDUP(MONTH(B356)/3,0)</f>
        <v/>
      </c>
      <c r="F356">
        <f>YEAR(B356)</f>
        <v/>
      </c>
    </row>
    <row r="357">
      <c r="A357">
        <f>INT(B357)</f>
        <v/>
      </c>
      <c r="B357" s="37" t="n">
        <v>46013</v>
      </c>
      <c r="C357">
        <f>TEXT(B357,"mmm")</f>
        <v/>
      </c>
      <c r="D357">
        <f>MONTH(B357)</f>
        <v/>
      </c>
      <c r="E357">
        <f>ROUNDUP(MONTH(B357)/3,0)</f>
        <v/>
      </c>
      <c r="F357">
        <f>YEAR(B357)</f>
        <v/>
      </c>
    </row>
    <row r="358">
      <c r="A358">
        <f>INT(B358)</f>
        <v/>
      </c>
      <c r="B358" s="37" t="n">
        <v>46014</v>
      </c>
      <c r="C358">
        <f>TEXT(B358,"mmm")</f>
        <v/>
      </c>
      <c r="D358">
        <f>MONTH(B358)</f>
        <v/>
      </c>
      <c r="E358">
        <f>ROUNDUP(MONTH(B358)/3,0)</f>
        <v/>
      </c>
      <c r="F358">
        <f>YEAR(B358)</f>
        <v/>
      </c>
    </row>
    <row r="359">
      <c r="A359">
        <f>INT(B359)</f>
        <v/>
      </c>
      <c r="B359" s="37" t="n">
        <v>46015</v>
      </c>
      <c r="C359">
        <f>TEXT(B359,"mmm")</f>
        <v/>
      </c>
      <c r="D359">
        <f>MONTH(B359)</f>
        <v/>
      </c>
      <c r="E359">
        <f>ROUNDUP(MONTH(B359)/3,0)</f>
        <v/>
      </c>
      <c r="F359">
        <f>YEAR(B359)</f>
        <v/>
      </c>
    </row>
    <row r="360">
      <c r="A360">
        <f>INT(B360)</f>
        <v/>
      </c>
      <c r="B360" s="37" t="n">
        <v>46016</v>
      </c>
      <c r="C360">
        <f>TEXT(B360,"mmm")</f>
        <v/>
      </c>
      <c r="D360">
        <f>MONTH(B360)</f>
        <v/>
      </c>
      <c r="E360">
        <f>ROUNDUP(MONTH(B360)/3,0)</f>
        <v/>
      </c>
      <c r="F360">
        <f>YEAR(B360)</f>
        <v/>
      </c>
    </row>
    <row r="361">
      <c r="A361">
        <f>INT(B361)</f>
        <v/>
      </c>
      <c r="B361" s="37" t="n">
        <v>46017</v>
      </c>
      <c r="C361">
        <f>TEXT(B361,"mmm")</f>
        <v/>
      </c>
      <c r="D361">
        <f>MONTH(B361)</f>
        <v/>
      </c>
      <c r="E361">
        <f>ROUNDUP(MONTH(B361)/3,0)</f>
        <v/>
      </c>
      <c r="F361">
        <f>YEAR(B361)</f>
        <v/>
      </c>
    </row>
    <row r="362">
      <c r="A362">
        <f>INT(B362)</f>
        <v/>
      </c>
      <c r="B362" s="37" t="n">
        <v>46018</v>
      </c>
      <c r="C362">
        <f>TEXT(B362,"mmm")</f>
        <v/>
      </c>
      <c r="D362">
        <f>MONTH(B362)</f>
        <v/>
      </c>
      <c r="E362">
        <f>ROUNDUP(MONTH(B362)/3,0)</f>
        <v/>
      </c>
      <c r="F362">
        <f>YEAR(B362)</f>
        <v/>
      </c>
    </row>
    <row r="363">
      <c r="A363">
        <f>INT(B363)</f>
        <v/>
      </c>
      <c r="B363" s="37" t="n">
        <v>46019</v>
      </c>
      <c r="C363">
        <f>TEXT(B363,"mmm")</f>
        <v/>
      </c>
      <c r="D363">
        <f>MONTH(B363)</f>
        <v/>
      </c>
      <c r="E363">
        <f>ROUNDUP(MONTH(B363)/3,0)</f>
        <v/>
      </c>
      <c r="F363">
        <f>YEAR(B363)</f>
        <v/>
      </c>
    </row>
    <row r="364">
      <c r="A364">
        <f>INT(B364)</f>
        <v/>
      </c>
      <c r="B364" s="37" t="n">
        <v>46020</v>
      </c>
      <c r="C364">
        <f>TEXT(B364,"mmm")</f>
        <v/>
      </c>
      <c r="D364">
        <f>MONTH(B364)</f>
        <v/>
      </c>
      <c r="E364">
        <f>ROUNDUP(MONTH(B364)/3,0)</f>
        <v/>
      </c>
      <c r="F364">
        <f>YEAR(B364)</f>
        <v/>
      </c>
    </row>
    <row r="365">
      <c r="A365">
        <f>INT(B365)</f>
        <v/>
      </c>
      <c r="B365" s="37" t="n">
        <v>46021</v>
      </c>
      <c r="C365">
        <f>TEXT(B365,"mmm")</f>
        <v/>
      </c>
      <c r="D365">
        <f>MONTH(B365)</f>
        <v/>
      </c>
      <c r="E365">
        <f>ROUNDUP(MONTH(B365)/3,0)</f>
        <v/>
      </c>
      <c r="F365">
        <f>YEAR(B365)</f>
        <v/>
      </c>
    </row>
    <row r="366">
      <c r="A366">
        <f>INT(B366)</f>
        <v/>
      </c>
      <c r="B366" s="37" t="n">
        <v>46022</v>
      </c>
      <c r="C366">
        <f>TEXT(B366,"mmm")</f>
        <v/>
      </c>
      <c r="D366">
        <f>MONTH(B366)</f>
        <v/>
      </c>
      <c r="E366">
        <f>ROUNDUP(MONTH(B366)/3,0)</f>
        <v/>
      </c>
      <c r="F366">
        <f>YEAR(B366)</f>
        <v/>
      </c>
    </row>
    <row r="367">
      <c r="A367">
        <f>INT(B367)</f>
        <v/>
      </c>
      <c r="B367" s="37" t="n">
        <v>46023</v>
      </c>
      <c r="C367">
        <f>TEXT(B367,"mmm")</f>
        <v/>
      </c>
      <c r="D367">
        <f>MONTH(B367)</f>
        <v/>
      </c>
      <c r="E367">
        <f>ROUNDUP(MONTH(B367)/3,0)</f>
        <v/>
      </c>
      <c r="F367">
        <f>YEAR(B367)</f>
        <v/>
      </c>
    </row>
    <row r="368">
      <c r="A368">
        <f>INT(B368)</f>
        <v/>
      </c>
      <c r="B368" s="37" t="n">
        <v>46024</v>
      </c>
      <c r="C368">
        <f>TEXT(B368,"mmm")</f>
        <v/>
      </c>
      <c r="D368">
        <f>MONTH(B368)</f>
        <v/>
      </c>
      <c r="E368">
        <f>ROUNDUP(MONTH(B368)/3,0)</f>
        <v/>
      </c>
      <c r="F368">
        <f>YEAR(B368)</f>
        <v/>
      </c>
    </row>
    <row r="369">
      <c r="A369">
        <f>INT(B369)</f>
        <v/>
      </c>
      <c r="B369" s="37" t="n">
        <v>46025</v>
      </c>
      <c r="C369">
        <f>TEXT(B369,"mmm")</f>
        <v/>
      </c>
      <c r="D369">
        <f>MONTH(B369)</f>
        <v/>
      </c>
      <c r="E369">
        <f>ROUNDUP(MONTH(B369)/3,0)</f>
        <v/>
      </c>
      <c r="F369">
        <f>YEAR(B369)</f>
        <v/>
      </c>
    </row>
    <row r="370">
      <c r="A370">
        <f>INT(B370)</f>
        <v/>
      </c>
      <c r="B370" s="37" t="n">
        <v>46026</v>
      </c>
      <c r="C370">
        <f>TEXT(B370,"mmm")</f>
        <v/>
      </c>
      <c r="D370">
        <f>MONTH(B370)</f>
        <v/>
      </c>
      <c r="E370">
        <f>ROUNDUP(MONTH(B370)/3,0)</f>
        <v/>
      </c>
      <c r="F370">
        <f>YEAR(B370)</f>
        <v/>
      </c>
    </row>
    <row r="371">
      <c r="A371">
        <f>INT(B371)</f>
        <v/>
      </c>
      <c r="B371" s="37" t="n">
        <v>46027</v>
      </c>
      <c r="C371">
        <f>TEXT(B371,"mmm")</f>
        <v/>
      </c>
      <c r="D371">
        <f>MONTH(B371)</f>
        <v/>
      </c>
      <c r="E371">
        <f>ROUNDUP(MONTH(B371)/3,0)</f>
        <v/>
      </c>
      <c r="F371">
        <f>YEAR(B371)</f>
        <v/>
      </c>
    </row>
    <row r="372">
      <c r="A372">
        <f>INT(B372)</f>
        <v/>
      </c>
      <c r="B372" s="37" t="n">
        <v>46028</v>
      </c>
      <c r="C372">
        <f>TEXT(B372,"mmm")</f>
        <v/>
      </c>
      <c r="D372">
        <f>MONTH(B372)</f>
        <v/>
      </c>
      <c r="E372">
        <f>ROUNDUP(MONTH(B372)/3,0)</f>
        <v/>
      </c>
      <c r="F372">
        <f>YEAR(B372)</f>
        <v/>
      </c>
    </row>
    <row r="373">
      <c r="A373">
        <f>INT(B373)</f>
        <v/>
      </c>
      <c r="B373" s="37" t="n">
        <v>46029</v>
      </c>
      <c r="C373">
        <f>TEXT(B373,"mmm")</f>
        <v/>
      </c>
      <c r="D373">
        <f>MONTH(B373)</f>
        <v/>
      </c>
      <c r="E373">
        <f>ROUNDUP(MONTH(B373)/3,0)</f>
        <v/>
      </c>
      <c r="F373">
        <f>YEAR(B373)</f>
        <v/>
      </c>
    </row>
    <row r="374">
      <c r="A374">
        <f>INT(B374)</f>
        <v/>
      </c>
      <c r="B374" s="37" t="n">
        <v>46030</v>
      </c>
      <c r="C374">
        <f>TEXT(B374,"mmm")</f>
        <v/>
      </c>
      <c r="D374">
        <f>MONTH(B374)</f>
        <v/>
      </c>
      <c r="E374">
        <f>ROUNDUP(MONTH(B374)/3,0)</f>
        <v/>
      </c>
      <c r="F374">
        <f>YEAR(B374)</f>
        <v/>
      </c>
    </row>
    <row r="375">
      <c r="A375">
        <f>INT(B375)</f>
        <v/>
      </c>
      <c r="B375" s="37" t="n">
        <v>46031</v>
      </c>
      <c r="C375">
        <f>TEXT(B375,"mmm")</f>
        <v/>
      </c>
      <c r="D375">
        <f>MONTH(B375)</f>
        <v/>
      </c>
      <c r="E375">
        <f>ROUNDUP(MONTH(B375)/3,0)</f>
        <v/>
      </c>
      <c r="F375">
        <f>YEAR(B375)</f>
        <v/>
      </c>
    </row>
    <row r="376">
      <c r="A376">
        <f>INT(B376)</f>
        <v/>
      </c>
      <c r="B376" s="37" t="n">
        <v>46032</v>
      </c>
      <c r="C376">
        <f>TEXT(B376,"mmm")</f>
        <v/>
      </c>
      <c r="D376">
        <f>MONTH(B376)</f>
        <v/>
      </c>
      <c r="E376">
        <f>ROUNDUP(MONTH(B376)/3,0)</f>
        <v/>
      </c>
      <c r="F376">
        <f>YEAR(B376)</f>
        <v/>
      </c>
    </row>
    <row r="377">
      <c r="A377">
        <f>INT(B377)</f>
        <v/>
      </c>
      <c r="B377" s="37" t="n">
        <v>46033</v>
      </c>
      <c r="C377">
        <f>TEXT(B377,"mmm")</f>
        <v/>
      </c>
      <c r="D377">
        <f>MONTH(B377)</f>
        <v/>
      </c>
      <c r="E377">
        <f>ROUNDUP(MONTH(B377)/3,0)</f>
        <v/>
      </c>
      <c r="F377">
        <f>YEAR(B377)</f>
        <v/>
      </c>
    </row>
    <row r="378">
      <c r="A378">
        <f>INT(B378)</f>
        <v/>
      </c>
      <c r="B378" s="37" t="n">
        <v>46034</v>
      </c>
      <c r="C378">
        <f>TEXT(B378,"mmm")</f>
        <v/>
      </c>
      <c r="D378">
        <f>MONTH(B378)</f>
        <v/>
      </c>
      <c r="E378">
        <f>ROUNDUP(MONTH(B378)/3,0)</f>
        <v/>
      </c>
      <c r="F378">
        <f>YEAR(B378)</f>
        <v/>
      </c>
    </row>
    <row r="379">
      <c r="A379">
        <f>INT(B379)</f>
        <v/>
      </c>
      <c r="B379" s="37" t="n">
        <v>46035</v>
      </c>
      <c r="C379">
        <f>TEXT(B379,"mmm")</f>
        <v/>
      </c>
      <c r="D379">
        <f>MONTH(B379)</f>
        <v/>
      </c>
      <c r="E379">
        <f>ROUNDUP(MONTH(B379)/3,0)</f>
        <v/>
      </c>
      <c r="F379">
        <f>YEAR(B379)</f>
        <v/>
      </c>
    </row>
    <row r="380">
      <c r="A380">
        <f>INT(B380)</f>
        <v/>
      </c>
      <c r="B380" s="37" t="n">
        <v>46036</v>
      </c>
      <c r="C380">
        <f>TEXT(B380,"mmm")</f>
        <v/>
      </c>
      <c r="D380">
        <f>MONTH(B380)</f>
        <v/>
      </c>
      <c r="E380">
        <f>ROUNDUP(MONTH(B380)/3,0)</f>
        <v/>
      </c>
      <c r="F380">
        <f>YEAR(B380)</f>
        <v/>
      </c>
    </row>
    <row r="381">
      <c r="A381">
        <f>INT(B381)</f>
        <v/>
      </c>
      <c r="B381" s="37" t="n">
        <v>46037</v>
      </c>
      <c r="C381">
        <f>TEXT(B381,"mmm")</f>
        <v/>
      </c>
      <c r="D381">
        <f>MONTH(B381)</f>
        <v/>
      </c>
      <c r="E381">
        <f>ROUNDUP(MONTH(B381)/3,0)</f>
        <v/>
      </c>
      <c r="F381">
        <f>YEAR(B381)</f>
        <v/>
      </c>
    </row>
    <row r="382">
      <c r="A382">
        <f>INT(B382)</f>
        <v/>
      </c>
      <c r="B382" s="37" t="n">
        <v>46038</v>
      </c>
      <c r="C382">
        <f>TEXT(B382,"mmm")</f>
        <v/>
      </c>
      <c r="D382">
        <f>MONTH(B382)</f>
        <v/>
      </c>
      <c r="E382">
        <f>ROUNDUP(MONTH(B382)/3,0)</f>
        <v/>
      </c>
      <c r="F382">
        <f>YEAR(B382)</f>
        <v/>
      </c>
    </row>
    <row r="383">
      <c r="A383">
        <f>INT(B383)</f>
        <v/>
      </c>
      <c r="B383" s="37" t="n">
        <v>46039</v>
      </c>
      <c r="C383">
        <f>TEXT(B383,"mmm")</f>
        <v/>
      </c>
      <c r="D383">
        <f>MONTH(B383)</f>
        <v/>
      </c>
      <c r="E383">
        <f>ROUNDUP(MONTH(B383)/3,0)</f>
        <v/>
      </c>
      <c r="F383">
        <f>YEAR(B383)</f>
        <v/>
      </c>
    </row>
    <row r="384">
      <c r="A384">
        <f>INT(B384)</f>
        <v/>
      </c>
      <c r="B384" s="37" t="n">
        <v>46040</v>
      </c>
      <c r="C384">
        <f>TEXT(B384,"mmm")</f>
        <v/>
      </c>
      <c r="D384">
        <f>MONTH(B384)</f>
        <v/>
      </c>
      <c r="E384">
        <f>ROUNDUP(MONTH(B384)/3,0)</f>
        <v/>
      </c>
      <c r="F384">
        <f>YEAR(B384)</f>
        <v/>
      </c>
    </row>
    <row r="385">
      <c r="A385">
        <f>INT(B385)</f>
        <v/>
      </c>
      <c r="B385" s="37" t="n">
        <v>46041</v>
      </c>
      <c r="C385">
        <f>TEXT(B385,"mmm")</f>
        <v/>
      </c>
      <c r="D385">
        <f>MONTH(B385)</f>
        <v/>
      </c>
      <c r="E385">
        <f>ROUNDUP(MONTH(B385)/3,0)</f>
        <v/>
      </c>
      <c r="F385">
        <f>YEAR(B385)</f>
        <v/>
      </c>
    </row>
    <row r="386">
      <c r="A386">
        <f>INT(B386)</f>
        <v/>
      </c>
      <c r="B386" s="37" t="n">
        <v>46042</v>
      </c>
      <c r="C386">
        <f>TEXT(B386,"mmm")</f>
        <v/>
      </c>
      <c r="D386">
        <f>MONTH(B386)</f>
        <v/>
      </c>
      <c r="E386">
        <f>ROUNDUP(MONTH(B386)/3,0)</f>
        <v/>
      </c>
      <c r="F386">
        <f>YEAR(B386)</f>
        <v/>
      </c>
    </row>
    <row r="387">
      <c r="A387">
        <f>INT(B387)</f>
        <v/>
      </c>
      <c r="B387" s="37" t="n">
        <v>46043</v>
      </c>
      <c r="C387">
        <f>TEXT(B387,"mmm")</f>
        <v/>
      </c>
      <c r="D387">
        <f>MONTH(B387)</f>
        <v/>
      </c>
      <c r="E387">
        <f>ROUNDUP(MONTH(B387)/3,0)</f>
        <v/>
      </c>
      <c r="F387">
        <f>YEAR(B387)</f>
        <v/>
      </c>
    </row>
    <row r="388">
      <c r="A388">
        <f>INT(B388)</f>
        <v/>
      </c>
      <c r="B388" s="37" t="n">
        <v>46044</v>
      </c>
      <c r="C388">
        <f>TEXT(B388,"mmm")</f>
        <v/>
      </c>
      <c r="D388">
        <f>MONTH(B388)</f>
        <v/>
      </c>
      <c r="E388">
        <f>ROUNDUP(MONTH(B388)/3,0)</f>
        <v/>
      </c>
      <c r="F388">
        <f>YEAR(B388)</f>
        <v/>
      </c>
    </row>
    <row r="389">
      <c r="A389">
        <f>INT(B389)</f>
        <v/>
      </c>
      <c r="B389" s="37" t="n">
        <v>46045</v>
      </c>
      <c r="C389">
        <f>TEXT(B389,"mmm")</f>
        <v/>
      </c>
      <c r="D389">
        <f>MONTH(B389)</f>
        <v/>
      </c>
      <c r="E389">
        <f>ROUNDUP(MONTH(B389)/3,0)</f>
        <v/>
      </c>
      <c r="F389">
        <f>YEAR(B389)</f>
        <v/>
      </c>
    </row>
    <row r="390">
      <c r="A390">
        <f>INT(B390)</f>
        <v/>
      </c>
      <c r="B390" s="37" t="n">
        <v>46046</v>
      </c>
      <c r="C390">
        <f>TEXT(B390,"mmm")</f>
        <v/>
      </c>
      <c r="D390">
        <f>MONTH(B390)</f>
        <v/>
      </c>
      <c r="E390">
        <f>ROUNDUP(MONTH(B390)/3,0)</f>
        <v/>
      </c>
      <c r="F390">
        <f>YEAR(B390)</f>
        <v/>
      </c>
    </row>
    <row r="391">
      <c r="A391">
        <f>INT(B391)</f>
        <v/>
      </c>
      <c r="B391" s="37" t="n">
        <v>46047</v>
      </c>
      <c r="C391">
        <f>TEXT(B391,"mmm")</f>
        <v/>
      </c>
      <c r="D391">
        <f>MONTH(B391)</f>
        <v/>
      </c>
      <c r="E391">
        <f>ROUNDUP(MONTH(B391)/3,0)</f>
        <v/>
      </c>
      <c r="F391">
        <f>YEAR(B391)</f>
        <v/>
      </c>
    </row>
    <row r="392">
      <c r="A392">
        <f>INT(B392)</f>
        <v/>
      </c>
      <c r="B392" s="37" t="n">
        <v>46048</v>
      </c>
      <c r="C392">
        <f>TEXT(B392,"mmm")</f>
        <v/>
      </c>
      <c r="D392">
        <f>MONTH(B392)</f>
        <v/>
      </c>
      <c r="E392">
        <f>ROUNDUP(MONTH(B392)/3,0)</f>
        <v/>
      </c>
      <c r="F392">
        <f>YEAR(B392)</f>
        <v/>
      </c>
    </row>
    <row r="393">
      <c r="A393">
        <f>INT(B393)</f>
        <v/>
      </c>
      <c r="B393" s="37" t="n">
        <v>46049</v>
      </c>
      <c r="C393">
        <f>TEXT(B393,"mmm")</f>
        <v/>
      </c>
      <c r="D393">
        <f>MONTH(B393)</f>
        <v/>
      </c>
      <c r="E393">
        <f>ROUNDUP(MONTH(B393)/3,0)</f>
        <v/>
      </c>
      <c r="F393">
        <f>YEAR(B393)</f>
        <v/>
      </c>
    </row>
    <row r="394">
      <c r="A394">
        <f>INT(B394)</f>
        <v/>
      </c>
      <c r="B394" s="37" t="n">
        <v>46050</v>
      </c>
      <c r="C394">
        <f>TEXT(B394,"mmm")</f>
        <v/>
      </c>
      <c r="D394">
        <f>MONTH(B394)</f>
        <v/>
      </c>
      <c r="E394">
        <f>ROUNDUP(MONTH(B394)/3,0)</f>
        <v/>
      </c>
      <c r="F394">
        <f>YEAR(B394)</f>
        <v/>
      </c>
    </row>
    <row r="395">
      <c r="A395">
        <f>INT(B395)</f>
        <v/>
      </c>
      <c r="B395" s="37" t="n">
        <v>46051</v>
      </c>
      <c r="C395">
        <f>TEXT(B395,"mmm")</f>
        <v/>
      </c>
      <c r="D395">
        <f>MONTH(B395)</f>
        <v/>
      </c>
      <c r="E395">
        <f>ROUNDUP(MONTH(B395)/3,0)</f>
        <v/>
      </c>
      <c r="F395">
        <f>YEAR(B395)</f>
        <v/>
      </c>
    </row>
    <row r="396">
      <c r="A396">
        <f>INT(B396)</f>
        <v/>
      </c>
      <c r="B396" s="37" t="n">
        <v>46052</v>
      </c>
      <c r="C396">
        <f>TEXT(B396,"mmm")</f>
        <v/>
      </c>
      <c r="D396">
        <f>MONTH(B396)</f>
        <v/>
      </c>
      <c r="E396">
        <f>ROUNDUP(MONTH(B396)/3,0)</f>
        <v/>
      </c>
      <c r="F396">
        <f>YEAR(B396)</f>
        <v/>
      </c>
    </row>
    <row r="397">
      <c r="A397">
        <f>INT(B397)</f>
        <v/>
      </c>
      <c r="B397" s="37" t="n">
        <v>46053</v>
      </c>
      <c r="C397">
        <f>TEXT(B397,"mmm")</f>
        <v/>
      </c>
      <c r="D397">
        <f>MONTH(B397)</f>
        <v/>
      </c>
      <c r="E397">
        <f>ROUNDUP(MONTH(B397)/3,0)</f>
        <v/>
      </c>
      <c r="F397">
        <f>YEAR(B397)</f>
        <v/>
      </c>
    </row>
    <row r="398">
      <c r="A398">
        <f>INT(B398)</f>
        <v/>
      </c>
      <c r="B398" s="37" t="n">
        <v>46054</v>
      </c>
      <c r="C398">
        <f>TEXT(B398,"mmm")</f>
        <v/>
      </c>
      <c r="D398">
        <f>MONTH(B398)</f>
        <v/>
      </c>
      <c r="E398">
        <f>ROUNDUP(MONTH(B398)/3,0)</f>
        <v/>
      </c>
      <c r="F398">
        <f>YEAR(B398)</f>
        <v/>
      </c>
    </row>
    <row r="399">
      <c r="A399">
        <f>INT(B399)</f>
        <v/>
      </c>
      <c r="B399" s="37" t="n">
        <v>46055</v>
      </c>
      <c r="C399">
        <f>TEXT(B399,"mmm")</f>
        <v/>
      </c>
      <c r="D399">
        <f>MONTH(B399)</f>
        <v/>
      </c>
      <c r="E399">
        <f>ROUNDUP(MONTH(B399)/3,0)</f>
        <v/>
      </c>
      <c r="F399">
        <f>YEAR(B399)</f>
        <v/>
      </c>
    </row>
    <row r="400">
      <c r="A400">
        <f>INT(B400)</f>
        <v/>
      </c>
      <c r="B400" s="37" t="n">
        <v>46056</v>
      </c>
      <c r="C400">
        <f>TEXT(B400,"mmm")</f>
        <v/>
      </c>
      <c r="D400">
        <f>MONTH(B400)</f>
        <v/>
      </c>
      <c r="E400">
        <f>ROUNDUP(MONTH(B400)/3,0)</f>
        <v/>
      </c>
      <c r="F400">
        <f>YEAR(B400)</f>
        <v/>
      </c>
    </row>
    <row r="401">
      <c r="A401">
        <f>INT(B401)</f>
        <v/>
      </c>
      <c r="B401" s="37" t="n">
        <v>46057</v>
      </c>
      <c r="C401">
        <f>TEXT(B401,"mmm")</f>
        <v/>
      </c>
      <c r="D401">
        <f>MONTH(B401)</f>
        <v/>
      </c>
      <c r="E401">
        <f>ROUNDUP(MONTH(B401)/3,0)</f>
        <v/>
      </c>
      <c r="F401">
        <f>YEAR(B401)</f>
        <v/>
      </c>
    </row>
    <row r="402">
      <c r="A402">
        <f>INT(B402)</f>
        <v/>
      </c>
      <c r="B402" s="37" t="n">
        <v>46058</v>
      </c>
      <c r="C402">
        <f>TEXT(B402,"mmm")</f>
        <v/>
      </c>
      <c r="D402">
        <f>MONTH(B402)</f>
        <v/>
      </c>
      <c r="E402">
        <f>ROUNDUP(MONTH(B402)/3,0)</f>
        <v/>
      </c>
      <c r="F402">
        <f>YEAR(B402)</f>
        <v/>
      </c>
    </row>
    <row r="403">
      <c r="A403">
        <f>INT(B403)</f>
        <v/>
      </c>
      <c r="B403" s="37" t="n">
        <v>46059</v>
      </c>
      <c r="C403">
        <f>TEXT(B403,"mmm")</f>
        <v/>
      </c>
      <c r="D403">
        <f>MONTH(B403)</f>
        <v/>
      </c>
      <c r="E403">
        <f>ROUNDUP(MONTH(B403)/3,0)</f>
        <v/>
      </c>
      <c r="F403">
        <f>YEAR(B403)</f>
        <v/>
      </c>
    </row>
    <row r="404">
      <c r="A404">
        <f>INT(B404)</f>
        <v/>
      </c>
      <c r="B404" s="37" t="n">
        <v>46060</v>
      </c>
      <c r="C404">
        <f>TEXT(B404,"mmm")</f>
        <v/>
      </c>
      <c r="D404">
        <f>MONTH(B404)</f>
        <v/>
      </c>
      <c r="E404">
        <f>ROUNDUP(MONTH(B404)/3,0)</f>
        <v/>
      </c>
      <c r="F404">
        <f>YEAR(B404)</f>
        <v/>
      </c>
    </row>
    <row r="405">
      <c r="A405">
        <f>INT(B405)</f>
        <v/>
      </c>
      <c r="B405" s="37" t="n">
        <v>46061</v>
      </c>
      <c r="C405">
        <f>TEXT(B405,"mmm")</f>
        <v/>
      </c>
      <c r="D405">
        <f>MONTH(B405)</f>
        <v/>
      </c>
      <c r="E405">
        <f>ROUNDUP(MONTH(B405)/3,0)</f>
        <v/>
      </c>
      <c r="F405">
        <f>YEAR(B405)</f>
        <v/>
      </c>
    </row>
    <row r="406">
      <c r="A406">
        <f>INT(B406)</f>
        <v/>
      </c>
      <c r="B406" s="37" t="n">
        <v>46062</v>
      </c>
      <c r="C406">
        <f>TEXT(B406,"mmm")</f>
        <v/>
      </c>
      <c r="D406">
        <f>MONTH(B406)</f>
        <v/>
      </c>
      <c r="E406">
        <f>ROUNDUP(MONTH(B406)/3,0)</f>
        <v/>
      </c>
      <c r="F406">
        <f>YEAR(B406)</f>
        <v/>
      </c>
    </row>
    <row r="407">
      <c r="A407">
        <f>INT(B407)</f>
        <v/>
      </c>
      <c r="B407" s="37" t="n">
        <v>46063</v>
      </c>
      <c r="C407">
        <f>TEXT(B407,"mmm")</f>
        <v/>
      </c>
      <c r="D407">
        <f>MONTH(B407)</f>
        <v/>
      </c>
      <c r="E407">
        <f>ROUNDUP(MONTH(B407)/3,0)</f>
        <v/>
      </c>
      <c r="F407">
        <f>YEAR(B407)</f>
        <v/>
      </c>
    </row>
    <row r="408">
      <c r="A408">
        <f>INT(B408)</f>
        <v/>
      </c>
      <c r="B408" s="37" t="n">
        <v>46064</v>
      </c>
      <c r="C408">
        <f>TEXT(B408,"mmm")</f>
        <v/>
      </c>
      <c r="D408">
        <f>MONTH(B408)</f>
        <v/>
      </c>
      <c r="E408">
        <f>ROUNDUP(MONTH(B408)/3,0)</f>
        <v/>
      </c>
      <c r="F408">
        <f>YEAR(B408)</f>
        <v/>
      </c>
    </row>
    <row r="409">
      <c r="A409">
        <f>INT(B409)</f>
        <v/>
      </c>
      <c r="B409" s="37" t="n">
        <v>46065</v>
      </c>
      <c r="C409">
        <f>TEXT(B409,"mmm")</f>
        <v/>
      </c>
      <c r="D409">
        <f>MONTH(B409)</f>
        <v/>
      </c>
      <c r="E409">
        <f>ROUNDUP(MONTH(B409)/3,0)</f>
        <v/>
      </c>
      <c r="F409">
        <f>YEAR(B409)</f>
        <v/>
      </c>
    </row>
    <row r="410">
      <c r="A410">
        <f>INT(B410)</f>
        <v/>
      </c>
      <c r="B410" s="37" t="n">
        <v>46066</v>
      </c>
      <c r="C410">
        <f>TEXT(B410,"mmm")</f>
        <v/>
      </c>
      <c r="D410">
        <f>MONTH(B410)</f>
        <v/>
      </c>
      <c r="E410">
        <f>ROUNDUP(MONTH(B410)/3,0)</f>
        <v/>
      </c>
      <c r="F410">
        <f>YEAR(B410)</f>
        <v/>
      </c>
    </row>
    <row r="411">
      <c r="A411">
        <f>INT(B411)</f>
        <v/>
      </c>
      <c r="B411" s="37" t="n">
        <v>46067</v>
      </c>
      <c r="C411">
        <f>TEXT(B411,"mmm")</f>
        <v/>
      </c>
      <c r="D411">
        <f>MONTH(B411)</f>
        <v/>
      </c>
      <c r="E411">
        <f>ROUNDUP(MONTH(B411)/3,0)</f>
        <v/>
      </c>
      <c r="F411">
        <f>YEAR(B411)</f>
        <v/>
      </c>
    </row>
    <row r="412">
      <c r="A412">
        <f>INT(B412)</f>
        <v/>
      </c>
      <c r="B412" s="37" t="n">
        <v>46068</v>
      </c>
      <c r="C412">
        <f>TEXT(B412,"mmm")</f>
        <v/>
      </c>
      <c r="D412">
        <f>MONTH(B412)</f>
        <v/>
      </c>
      <c r="E412">
        <f>ROUNDUP(MONTH(B412)/3,0)</f>
        <v/>
      </c>
      <c r="F412">
        <f>YEAR(B412)</f>
        <v/>
      </c>
    </row>
    <row r="413">
      <c r="A413">
        <f>INT(B413)</f>
        <v/>
      </c>
      <c r="B413" s="37" t="n">
        <v>46069</v>
      </c>
      <c r="C413">
        <f>TEXT(B413,"mmm")</f>
        <v/>
      </c>
      <c r="D413">
        <f>MONTH(B413)</f>
        <v/>
      </c>
      <c r="E413">
        <f>ROUNDUP(MONTH(B413)/3,0)</f>
        <v/>
      </c>
      <c r="F413">
        <f>YEAR(B413)</f>
        <v/>
      </c>
    </row>
    <row r="414">
      <c r="A414">
        <f>INT(B414)</f>
        <v/>
      </c>
      <c r="B414" s="37" t="n">
        <v>46070</v>
      </c>
      <c r="C414">
        <f>TEXT(B414,"mmm")</f>
        <v/>
      </c>
      <c r="D414">
        <f>MONTH(B414)</f>
        <v/>
      </c>
      <c r="E414">
        <f>ROUNDUP(MONTH(B414)/3,0)</f>
        <v/>
      </c>
      <c r="F414">
        <f>YEAR(B414)</f>
        <v/>
      </c>
    </row>
    <row r="415">
      <c r="A415">
        <f>INT(B415)</f>
        <v/>
      </c>
      <c r="B415" s="37" t="n">
        <v>46071</v>
      </c>
      <c r="C415">
        <f>TEXT(B415,"mmm")</f>
        <v/>
      </c>
      <c r="D415">
        <f>MONTH(B415)</f>
        <v/>
      </c>
      <c r="E415">
        <f>ROUNDUP(MONTH(B415)/3,0)</f>
        <v/>
      </c>
      <c r="F415">
        <f>YEAR(B415)</f>
        <v/>
      </c>
    </row>
    <row r="416">
      <c r="A416">
        <f>INT(B416)</f>
        <v/>
      </c>
      <c r="B416" s="37" t="n">
        <v>46072</v>
      </c>
      <c r="C416">
        <f>TEXT(B416,"mmm")</f>
        <v/>
      </c>
      <c r="D416">
        <f>MONTH(B416)</f>
        <v/>
      </c>
      <c r="E416">
        <f>ROUNDUP(MONTH(B416)/3,0)</f>
        <v/>
      </c>
      <c r="F416">
        <f>YEAR(B416)</f>
        <v/>
      </c>
    </row>
    <row r="417">
      <c r="A417">
        <f>INT(B417)</f>
        <v/>
      </c>
      <c r="B417" s="37" t="n">
        <v>46073</v>
      </c>
      <c r="C417">
        <f>TEXT(B417,"mmm")</f>
        <v/>
      </c>
      <c r="D417">
        <f>MONTH(B417)</f>
        <v/>
      </c>
      <c r="E417">
        <f>ROUNDUP(MONTH(B417)/3,0)</f>
        <v/>
      </c>
      <c r="F417">
        <f>YEAR(B417)</f>
        <v/>
      </c>
    </row>
    <row r="418">
      <c r="A418">
        <f>INT(B418)</f>
        <v/>
      </c>
      <c r="B418" s="37" t="n">
        <v>46074</v>
      </c>
      <c r="C418">
        <f>TEXT(B418,"mmm")</f>
        <v/>
      </c>
      <c r="D418">
        <f>MONTH(B418)</f>
        <v/>
      </c>
      <c r="E418">
        <f>ROUNDUP(MONTH(B418)/3,0)</f>
        <v/>
      </c>
      <c r="F418">
        <f>YEAR(B418)</f>
        <v/>
      </c>
    </row>
    <row r="419">
      <c r="A419">
        <f>INT(B419)</f>
        <v/>
      </c>
      <c r="B419" s="37" t="n">
        <v>46075</v>
      </c>
      <c r="C419">
        <f>TEXT(B419,"mmm")</f>
        <v/>
      </c>
      <c r="D419">
        <f>MONTH(B419)</f>
        <v/>
      </c>
      <c r="E419">
        <f>ROUNDUP(MONTH(B419)/3,0)</f>
        <v/>
      </c>
      <c r="F419">
        <f>YEAR(B419)</f>
        <v/>
      </c>
    </row>
    <row r="420">
      <c r="A420">
        <f>INT(B420)</f>
        <v/>
      </c>
      <c r="B420" s="37" t="n">
        <v>46076</v>
      </c>
      <c r="C420">
        <f>TEXT(B420,"mmm")</f>
        <v/>
      </c>
      <c r="D420">
        <f>MONTH(B420)</f>
        <v/>
      </c>
      <c r="E420">
        <f>ROUNDUP(MONTH(B420)/3,0)</f>
        <v/>
      </c>
      <c r="F420">
        <f>YEAR(B420)</f>
        <v/>
      </c>
    </row>
    <row r="421">
      <c r="A421">
        <f>INT(B421)</f>
        <v/>
      </c>
      <c r="B421" s="37" t="n">
        <v>46077</v>
      </c>
      <c r="C421">
        <f>TEXT(B421,"mmm")</f>
        <v/>
      </c>
      <c r="D421">
        <f>MONTH(B421)</f>
        <v/>
      </c>
      <c r="E421">
        <f>ROUNDUP(MONTH(B421)/3,0)</f>
        <v/>
      </c>
      <c r="F421">
        <f>YEAR(B421)</f>
        <v/>
      </c>
    </row>
    <row r="422">
      <c r="A422">
        <f>INT(B422)</f>
        <v/>
      </c>
      <c r="B422" s="37" t="n">
        <v>46078</v>
      </c>
      <c r="C422">
        <f>TEXT(B422,"mmm")</f>
        <v/>
      </c>
      <c r="D422">
        <f>MONTH(B422)</f>
        <v/>
      </c>
      <c r="E422">
        <f>ROUNDUP(MONTH(B422)/3,0)</f>
        <v/>
      </c>
      <c r="F422">
        <f>YEAR(B422)</f>
        <v/>
      </c>
    </row>
    <row r="423">
      <c r="A423">
        <f>INT(B423)</f>
        <v/>
      </c>
      <c r="B423" s="37" t="n">
        <v>46079</v>
      </c>
      <c r="C423">
        <f>TEXT(B423,"mmm")</f>
        <v/>
      </c>
      <c r="D423">
        <f>MONTH(B423)</f>
        <v/>
      </c>
      <c r="E423">
        <f>ROUNDUP(MONTH(B423)/3,0)</f>
        <v/>
      </c>
      <c r="F423">
        <f>YEAR(B423)</f>
        <v/>
      </c>
    </row>
    <row r="424">
      <c r="A424">
        <f>INT(B424)</f>
        <v/>
      </c>
      <c r="B424" s="37" t="n">
        <v>46080</v>
      </c>
      <c r="C424">
        <f>TEXT(B424,"mmm")</f>
        <v/>
      </c>
      <c r="D424">
        <f>MONTH(B424)</f>
        <v/>
      </c>
      <c r="E424">
        <f>ROUNDUP(MONTH(B424)/3,0)</f>
        <v/>
      </c>
      <c r="F424">
        <f>YEAR(B424)</f>
        <v/>
      </c>
    </row>
    <row r="425">
      <c r="A425">
        <f>INT(B425)</f>
        <v/>
      </c>
      <c r="B425" s="37" t="n">
        <v>46081</v>
      </c>
      <c r="C425">
        <f>TEXT(B425,"mmm")</f>
        <v/>
      </c>
      <c r="D425">
        <f>MONTH(B425)</f>
        <v/>
      </c>
      <c r="E425">
        <f>ROUNDUP(MONTH(B425)/3,0)</f>
        <v/>
      </c>
      <c r="F425">
        <f>YEAR(B425)</f>
        <v/>
      </c>
    </row>
    <row r="426">
      <c r="A426">
        <f>INT(B426)</f>
        <v/>
      </c>
      <c r="B426" s="37" t="n">
        <v>46082</v>
      </c>
      <c r="C426">
        <f>TEXT(B426,"mmm")</f>
        <v/>
      </c>
      <c r="D426">
        <f>MONTH(B426)</f>
        <v/>
      </c>
      <c r="E426">
        <f>ROUNDUP(MONTH(B426)/3,0)</f>
        <v/>
      </c>
      <c r="F426">
        <f>YEAR(B426)</f>
        <v/>
      </c>
    </row>
    <row r="427">
      <c r="A427">
        <f>INT(B427)</f>
        <v/>
      </c>
      <c r="B427" s="37" t="n">
        <v>46083</v>
      </c>
      <c r="C427">
        <f>TEXT(B427,"mmm")</f>
        <v/>
      </c>
      <c r="D427">
        <f>MONTH(B427)</f>
        <v/>
      </c>
      <c r="E427">
        <f>ROUNDUP(MONTH(B427)/3,0)</f>
        <v/>
      </c>
      <c r="F427">
        <f>YEAR(B427)</f>
        <v/>
      </c>
    </row>
    <row r="428">
      <c r="A428">
        <f>INT(B428)</f>
        <v/>
      </c>
      <c r="B428" s="37" t="n">
        <v>46084</v>
      </c>
      <c r="C428">
        <f>TEXT(B428,"mmm")</f>
        <v/>
      </c>
      <c r="D428">
        <f>MONTH(B428)</f>
        <v/>
      </c>
      <c r="E428">
        <f>ROUNDUP(MONTH(B428)/3,0)</f>
        <v/>
      </c>
      <c r="F428">
        <f>YEAR(B428)</f>
        <v/>
      </c>
    </row>
    <row r="429">
      <c r="A429">
        <f>INT(B429)</f>
        <v/>
      </c>
      <c r="B429" s="37" t="n">
        <v>46085</v>
      </c>
      <c r="C429">
        <f>TEXT(B429,"mmm")</f>
        <v/>
      </c>
      <c r="D429">
        <f>MONTH(B429)</f>
        <v/>
      </c>
      <c r="E429">
        <f>ROUNDUP(MONTH(B429)/3,0)</f>
        <v/>
      </c>
      <c r="F429">
        <f>YEAR(B429)</f>
        <v/>
      </c>
    </row>
    <row r="430">
      <c r="A430">
        <f>INT(B430)</f>
        <v/>
      </c>
      <c r="B430" s="37" t="n">
        <v>46086</v>
      </c>
      <c r="C430">
        <f>TEXT(B430,"mmm")</f>
        <v/>
      </c>
      <c r="D430">
        <f>MONTH(B430)</f>
        <v/>
      </c>
      <c r="E430">
        <f>ROUNDUP(MONTH(B430)/3,0)</f>
        <v/>
      </c>
      <c r="F430">
        <f>YEAR(B430)</f>
        <v/>
      </c>
    </row>
    <row r="431">
      <c r="A431">
        <f>INT(B431)</f>
        <v/>
      </c>
      <c r="B431" s="37" t="n">
        <v>46087</v>
      </c>
      <c r="C431">
        <f>TEXT(B431,"mmm")</f>
        <v/>
      </c>
      <c r="D431">
        <f>MONTH(B431)</f>
        <v/>
      </c>
      <c r="E431">
        <f>ROUNDUP(MONTH(B431)/3,0)</f>
        <v/>
      </c>
      <c r="F431">
        <f>YEAR(B431)</f>
        <v/>
      </c>
    </row>
    <row r="432">
      <c r="A432">
        <f>INT(B432)</f>
        <v/>
      </c>
      <c r="B432" s="37" t="n">
        <v>46088</v>
      </c>
      <c r="C432">
        <f>TEXT(B432,"mmm")</f>
        <v/>
      </c>
      <c r="D432">
        <f>MONTH(B432)</f>
        <v/>
      </c>
      <c r="E432">
        <f>ROUNDUP(MONTH(B432)/3,0)</f>
        <v/>
      </c>
      <c r="F432">
        <f>YEAR(B432)</f>
        <v/>
      </c>
    </row>
    <row r="433">
      <c r="A433">
        <f>INT(B433)</f>
        <v/>
      </c>
      <c r="B433" s="37" t="n">
        <v>46089</v>
      </c>
      <c r="C433">
        <f>TEXT(B433,"mmm")</f>
        <v/>
      </c>
      <c r="D433">
        <f>MONTH(B433)</f>
        <v/>
      </c>
      <c r="E433">
        <f>ROUNDUP(MONTH(B433)/3,0)</f>
        <v/>
      </c>
      <c r="F433">
        <f>YEAR(B433)</f>
        <v/>
      </c>
    </row>
    <row r="434">
      <c r="A434">
        <f>INT(B434)</f>
        <v/>
      </c>
      <c r="B434" s="37" t="n">
        <v>46090</v>
      </c>
      <c r="C434">
        <f>TEXT(B434,"mmm")</f>
        <v/>
      </c>
      <c r="D434">
        <f>MONTH(B434)</f>
        <v/>
      </c>
      <c r="E434">
        <f>ROUNDUP(MONTH(B434)/3,0)</f>
        <v/>
      </c>
      <c r="F434">
        <f>YEAR(B434)</f>
        <v/>
      </c>
    </row>
    <row r="435">
      <c r="A435">
        <f>INT(B435)</f>
        <v/>
      </c>
      <c r="B435" s="37" t="n">
        <v>46091</v>
      </c>
      <c r="C435">
        <f>TEXT(B435,"mmm")</f>
        <v/>
      </c>
      <c r="D435">
        <f>MONTH(B435)</f>
        <v/>
      </c>
      <c r="E435">
        <f>ROUNDUP(MONTH(B435)/3,0)</f>
        <v/>
      </c>
      <c r="F435">
        <f>YEAR(B435)</f>
        <v/>
      </c>
    </row>
    <row r="436">
      <c r="A436">
        <f>INT(B436)</f>
        <v/>
      </c>
      <c r="B436" s="37" t="n">
        <v>46092</v>
      </c>
      <c r="C436">
        <f>TEXT(B436,"mmm")</f>
        <v/>
      </c>
      <c r="D436">
        <f>MONTH(B436)</f>
        <v/>
      </c>
      <c r="E436">
        <f>ROUNDUP(MONTH(B436)/3,0)</f>
        <v/>
      </c>
      <c r="F436">
        <f>YEAR(B436)</f>
        <v/>
      </c>
    </row>
    <row r="437">
      <c r="A437">
        <f>INT(B437)</f>
        <v/>
      </c>
      <c r="B437" s="37" t="n">
        <v>46093</v>
      </c>
      <c r="C437">
        <f>TEXT(B437,"mmm")</f>
        <v/>
      </c>
      <c r="D437">
        <f>MONTH(B437)</f>
        <v/>
      </c>
      <c r="E437">
        <f>ROUNDUP(MONTH(B437)/3,0)</f>
        <v/>
      </c>
      <c r="F437">
        <f>YEAR(B437)</f>
        <v/>
      </c>
    </row>
    <row r="438">
      <c r="A438">
        <f>INT(B438)</f>
        <v/>
      </c>
      <c r="B438" s="37" t="n">
        <v>46094</v>
      </c>
      <c r="C438">
        <f>TEXT(B438,"mmm")</f>
        <v/>
      </c>
      <c r="D438">
        <f>MONTH(B438)</f>
        <v/>
      </c>
      <c r="E438">
        <f>ROUNDUP(MONTH(B438)/3,0)</f>
        <v/>
      </c>
      <c r="F438">
        <f>YEAR(B438)</f>
        <v/>
      </c>
    </row>
    <row r="439">
      <c r="A439">
        <f>INT(B439)</f>
        <v/>
      </c>
      <c r="B439" s="37" t="n">
        <v>46095</v>
      </c>
      <c r="C439">
        <f>TEXT(B439,"mmm")</f>
        <v/>
      </c>
      <c r="D439">
        <f>MONTH(B439)</f>
        <v/>
      </c>
      <c r="E439">
        <f>ROUNDUP(MONTH(B439)/3,0)</f>
        <v/>
      </c>
      <c r="F439">
        <f>YEAR(B439)</f>
        <v/>
      </c>
    </row>
    <row r="440">
      <c r="A440">
        <f>INT(B440)</f>
        <v/>
      </c>
      <c r="B440" s="37" t="n">
        <v>46096</v>
      </c>
      <c r="C440">
        <f>TEXT(B440,"mmm")</f>
        <v/>
      </c>
      <c r="D440">
        <f>MONTH(B440)</f>
        <v/>
      </c>
      <c r="E440">
        <f>ROUNDUP(MONTH(B440)/3,0)</f>
        <v/>
      </c>
      <c r="F440">
        <f>YEAR(B440)</f>
        <v/>
      </c>
    </row>
    <row r="441">
      <c r="A441">
        <f>INT(B441)</f>
        <v/>
      </c>
      <c r="B441" s="37" t="n">
        <v>46097</v>
      </c>
      <c r="C441">
        <f>TEXT(B441,"mmm")</f>
        <v/>
      </c>
      <c r="D441">
        <f>MONTH(B441)</f>
        <v/>
      </c>
      <c r="E441">
        <f>ROUNDUP(MONTH(B441)/3,0)</f>
        <v/>
      </c>
      <c r="F441">
        <f>YEAR(B441)</f>
        <v/>
      </c>
    </row>
    <row r="442">
      <c r="A442">
        <f>INT(B442)</f>
        <v/>
      </c>
      <c r="B442" s="37" t="n">
        <v>46098</v>
      </c>
      <c r="C442">
        <f>TEXT(B442,"mmm")</f>
        <v/>
      </c>
      <c r="D442">
        <f>MONTH(B442)</f>
        <v/>
      </c>
      <c r="E442">
        <f>ROUNDUP(MONTH(B442)/3,0)</f>
        <v/>
      </c>
      <c r="F442">
        <f>YEAR(B442)</f>
        <v/>
      </c>
    </row>
    <row r="443">
      <c r="A443">
        <f>INT(B443)</f>
        <v/>
      </c>
      <c r="B443" s="37" t="n">
        <v>46099</v>
      </c>
      <c r="C443">
        <f>TEXT(B443,"mmm")</f>
        <v/>
      </c>
      <c r="D443">
        <f>MONTH(B443)</f>
        <v/>
      </c>
      <c r="E443">
        <f>ROUNDUP(MONTH(B443)/3,0)</f>
        <v/>
      </c>
      <c r="F443">
        <f>YEAR(B443)</f>
        <v/>
      </c>
    </row>
    <row r="444">
      <c r="A444">
        <f>INT(B444)</f>
        <v/>
      </c>
      <c r="B444" s="37" t="n">
        <v>46100</v>
      </c>
      <c r="C444">
        <f>TEXT(B444,"mmm")</f>
        <v/>
      </c>
      <c r="D444">
        <f>MONTH(B444)</f>
        <v/>
      </c>
      <c r="E444">
        <f>ROUNDUP(MONTH(B444)/3,0)</f>
        <v/>
      </c>
      <c r="F444">
        <f>YEAR(B444)</f>
        <v/>
      </c>
    </row>
    <row r="445">
      <c r="A445">
        <f>INT(B445)</f>
        <v/>
      </c>
      <c r="B445" s="37" t="n">
        <v>46101</v>
      </c>
      <c r="C445">
        <f>TEXT(B445,"mmm")</f>
        <v/>
      </c>
      <c r="D445">
        <f>MONTH(B445)</f>
        <v/>
      </c>
      <c r="E445">
        <f>ROUNDUP(MONTH(B445)/3,0)</f>
        <v/>
      </c>
      <c r="F445">
        <f>YEAR(B445)</f>
        <v/>
      </c>
    </row>
    <row r="446">
      <c r="A446">
        <f>INT(B446)</f>
        <v/>
      </c>
      <c r="B446" s="37" t="n">
        <v>46102</v>
      </c>
      <c r="C446">
        <f>TEXT(B446,"mmm")</f>
        <v/>
      </c>
      <c r="D446">
        <f>MONTH(B446)</f>
        <v/>
      </c>
      <c r="E446">
        <f>ROUNDUP(MONTH(B446)/3,0)</f>
        <v/>
      </c>
      <c r="F446">
        <f>YEAR(B446)</f>
        <v/>
      </c>
    </row>
    <row r="447">
      <c r="A447">
        <f>INT(B447)</f>
        <v/>
      </c>
      <c r="B447" s="37" t="n">
        <v>46103</v>
      </c>
      <c r="C447">
        <f>TEXT(B447,"mmm")</f>
        <v/>
      </c>
      <c r="D447">
        <f>MONTH(B447)</f>
        <v/>
      </c>
      <c r="E447">
        <f>ROUNDUP(MONTH(B447)/3,0)</f>
        <v/>
      </c>
      <c r="F447">
        <f>YEAR(B447)</f>
        <v/>
      </c>
    </row>
    <row r="448">
      <c r="A448">
        <f>INT(B448)</f>
        <v/>
      </c>
      <c r="B448" s="37" t="n">
        <v>46104</v>
      </c>
      <c r="C448">
        <f>TEXT(B448,"mmm")</f>
        <v/>
      </c>
      <c r="D448">
        <f>MONTH(B448)</f>
        <v/>
      </c>
      <c r="E448">
        <f>ROUNDUP(MONTH(B448)/3,0)</f>
        <v/>
      </c>
      <c r="F448">
        <f>YEAR(B448)</f>
        <v/>
      </c>
    </row>
    <row r="449">
      <c r="A449">
        <f>INT(B449)</f>
        <v/>
      </c>
      <c r="B449" s="37" t="n">
        <v>46105</v>
      </c>
      <c r="C449">
        <f>TEXT(B449,"mmm")</f>
        <v/>
      </c>
      <c r="D449">
        <f>MONTH(B449)</f>
        <v/>
      </c>
      <c r="E449">
        <f>ROUNDUP(MONTH(B449)/3,0)</f>
        <v/>
      </c>
      <c r="F449">
        <f>YEAR(B449)</f>
        <v/>
      </c>
    </row>
    <row r="450">
      <c r="A450">
        <f>INT(B450)</f>
        <v/>
      </c>
      <c r="B450" s="37" t="n">
        <v>46106</v>
      </c>
      <c r="C450">
        <f>TEXT(B450,"mmm")</f>
        <v/>
      </c>
      <c r="D450">
        <f>MONTH(B450)</f>
        <v/>
      </c>
      <c r="E450">
        <f>ROUNDUP(MONTH(B450)/3,0)</f>
        <v/>
      </c>
      <c r="F450">
        <f>YEAR(B450)</f>
        <v/>
      </c>
    </row>
    <row r="451">
      <c r="A451">
        <f>INT(B451)</f>
        <v/>
      </c>
      <c r="B451" s="37" t="n">
        <v>46107</v>
      </c>
      <c r="C451">
        <f>TEXT(B451,"mmm")</f>
        <v/>
      </c>
      <c r="D451">
        <f>MONTH(B451)</f>
        <v/>
      </c>
      <c r="E451">
        <f>ROUNDUP(MONTH(B451)/3,0)</f>
        <v/>
      </c>
      <c r="F451">
        <f>YEAR(B451)</f>
        <v/>
      </c>
    </row>
    <row r="452">
      <c r="A452">
        <f>INT(B452)</f>
        <v/>
      </c>
      <c r="B452" s="37" t="n">
        <v>46108</v>
      </c>
      <c r="C452">
        <f>TEXT(B452,"mmm")</f>
        <v/>
      </c>
      <c r="D452">
        <f>MONTH(B452)</f>
        <v/>
      </c>
      <c r="E452">
        <f>ROUNDUP(MONTH(B452)/3,0)</f>
        <v/>
      </c>
      <c r="F452">
        <f>YEAR(B452)</f>
        <v/>
      </c>
    </row>
    <row r="453">
      <c r="A453">
        <f>INT(B453)</f>
        <v/>
      </c>
      <c r="B453" s="37" t="n">
        <v>46109</v>
      </c>
      <c r="C453">
        <f>TEXT(B453,"mmm")</f>
        <v/>
      </c>
      <c r="D453">
        <f>MONTH(B453)</f>
        <v/>
      </c>
      <c r="E453">
        <f>ROUNDUP(MONTH(B453)/3,0)</f>
        <v/>
      </c>
      <c r="F453">
        <f>YEAR(B453)</f>
        <v/>
      </c>
    </row>
    <row r="454">
      <c r="A454">
        <f>INT(B454)</f>
        <v/>
      </c>
      <c r="B454" s="37" t="n">
        <v>46110</v>
      </c>
      <c r="C454">
        <f>TEXT(B454,"mmm")</f>
        <v/>
      </c>
      <c r="D454">
        <f>MONTH(B454)</f>
        <v/>
      </c>
      <c r="E454">
        <f>ROUNDUP(MONTH(B454)/3,0)</f>
        <v/>
      </c>
      <c r="F454">
        <f>YEAR(B454)</f>
        <v/>
      </c>
    </row>
    <row r="455">
      <c r="A455">
        <f>INT(B455)</f>
        <v/>
      </c>
      <c r="B455" s="37" t="n">
        <v>46111</v>
      </c>
      <c r="C455">
        <f>TEXT(B455,"mmm")</f>
        <v/>
      </c>
      <c r="D455">
        <f>MONTH(B455)</f>
        <v/>
      </c>
      <c r="E455">
        <f>ROUNDUP(MONTH(B455)/3,0)</f>
        <v/>
      </c>
      <c r="F455">
        <f>YEAR(B455)</f>
        <v/>
      </c>
    </row>
    <row r="456">
      <c r="A456">
        <f>INT(B456)</f>
        <v/>
      </c>
      <c r="B456" s="37" t="n">
        <v>46112</v>
      </c>
      <c r="C456">
        <f>TEXT(B456,"mmm")</f>
        <v/>
      </c>
      <c r="D456">
        <f>MONTH(B456)</f>
        <v/>
      </c>
      <c r="E456">
        <f>ROUNDUP(MONTH(B456)/3,0)</f>
        <v/>
      </c>
      <c r="F456">
        <f>YEAR(B456)</f>
        <v/>
      </c>
    </row>
    <row r="457">
      <c r="A457">
        <f>INT(B457)</f>
        <v/>
      </c>
      <c r="B457" s="37" t="n">
        <v>46113</v>
      </c>
      <c r="C457">
        <f>TEXT(B457,"mmm")</f>
        <v/>
      </c>
      <c r="D457">
        <f>MONTH(B457)</f>
        <v/>
      </c>
      <c r="E457">
        <f>ROUNDUP(MONTH(B457)/3,0)</f>
        <v/>
      </c>
      <c r="F457">
        <f>YEAR(B457)</f>
        <v/>
      </c>
    </row>
    <row r="458">
      <c r="A458">
        <f>INT(B458)</f>
        <v/>
      </c>
      <c r="B458" s="37" t="n">
        <v>46114</v>
      </c>
      <c r="C458">
        <f>TEXT(B458,"mmm")</f>
        <v/>
      </c>
      <c r="D458">
        <f>MONTH(B458)</f>
        <v/>
      </c>
      <c r="E458">
        <f>ROUNDUP(MONTH(B458)/3,0)</f>
        <v/>
      </c>
      <c r="F458">
        <f>YEAR(B458)</f>
        <v/>
      </c>
    </row>
    <row r="459">
      <c r="A459">
        <f>INT(B459)</f>
        <v/>
      </c>
      <c r="B459" s="37" t="n">
        <v>46115</v>
      </c>
      <c r="C459">
        <f>TEXT(B459,"mmm")</f>
        <v/>
      </c>
      <c r="D459">
        <f>MONTH(B459)</f>
        <v/>
      </c>
      <c r="E459">
        <f>ROUNDUP(MONTH(B459)/3,0)</f>
        <v/>
      </c>
      <c r="F459">
        <f>YEAR(B459)</f>
        <v/>
      </c>
    </row>
    <row r="460">
      <c r="A460">
        <f>INT(B460)</f>
        <v/>
      </c>
      <c r="B460" s="37" t="n">
        <v>46116</v>
      </c>
      <c r="C460">
        <f>TEXT(B460,"mmm")</f>
        <v/>
      </c>
      <c r="D460">
        <f>MONTH(B460)</f>
        <v/>
      </c>
      <c r="E460">
        <f>ROUNDUP(MONTH(B460)/3,0)</f>
        <v/>
      </c>
      <c r="F460">
        <f>YEAR(B460)</f>
        <v/>
      </c>
    </row>
    <row r="461">
      <c r="A461">
        <f>INT(B461)</f>
        <v/>
      </c>
      <c r="B461" s="37" t="n">
        <v>46117</v>
      </c>
      <c r="C461">
        <f>TEXT(B461,"mmm")</f>
        <v/>
      </c>
      <c r="D461">
        <f>MONTH(B461)</f>
        <v/>
      </c>
      <c r="E461">
        <f>ROUNDUP(MONTH(B461)/3,0)</f>
        <v/>
      </c>
      <c r="F461">
        <f>YEAR(B461)</f>
        <v/>
      </c>
    </row>
    <row r="462">
      <c r="A462">
        <f>INT(B462)</f>
        <v/>
      </c>
      <c r="B462" s="37" t="n">
        <v>46118</v>
      </c>
      <c r="C462">
        <f>TEXT(B462,"mmm")</f>
        <v/>
      </c>
      <c r="D462">
        <f>MONTH(B462)</f>
        <v/>
      </c>
      <c r="E462">
        <f>ROUNDUP(MONTH(B462)/3,0)</f>
        <v/>
      </c>
      <c r="F462">
        <f>YEAR(B462)</f>
        <v/>
      </c>
    </row>
    <row r="463">
      <c r="A463">
        <f>INT(B463)</f>
        <v/>
      </c>
      <c r="B463" s="37" t="n">
        <v>46119</v>
      </c>
      <c r="C463">
        <f>TEXT(B463,"mmm")</f>
        <v/>
      </c>
      <c r="D463">
        <f>MONTH(B463)</f>
        <v/>
      </c>
      <c r="E463">
        <f>ROUNDUP(MONTH(B463)/3,0)</f>
        <v/>
      </c>
      <c r="F463">
        <f>YEAR(B463)</f>
        <v/>
      </c>
    </row>
    <row r="464">
      <c r="A464">
        <f>INT(B464)</f>
        <v/>
      </c>
      <c r="B464" s="37" t="n">
        <v>46120</v>
      </c>
      <c r="C464">
        <f>TEXT(B464,"mmm")</f>
        <v/>
      </c>
      <c r="D464">
        <f>MONTH(B464)</f>
        <v/>
      </c>
      <c r="E464">
        <f>ROUNDUP(MONTH(B464)/3,0)</f>
        <v/>
      </c>
      <c r="F464">
        <f>YEAR(B464)</f>
        <v/>
      </c>
    </row>
    <row r="465">
      <c r="A465">
        <f>INT(B465)</f>
        <v/>
      </c>
      <c r="B465" s="37" t="n">
        <v>46121</v>
      </c>
      <c r="C465">
        <f>TEXT(B465,"mmm")</f>
        <v/>
      </c>
      <c r="D465">
        <f>MONTH(B465)</f>
        <v/>
      </c>
      <c r="E465">
        <f>ROUNDUP(MONTH(B465)/3,0)</f>
        <v/>
      </c>
      <c r="F465">
        <f>YEAR(B465)</f>
        <v/>
      </c>
    </row>
    <row r="466">
      <c r="A466">
        <f>INT(B466)</f>
        <v/>
      </c>
      <c r="B466" s="37" t="n">
        <v>46122</v>
      </c>
      <c r="C466">
        <f>TEXT(B466,"mmm")</f>
        <v/>
      </c>
      <c r="D466">
        <f>MONTH(B466)</f>
        <v/>
      </c>
      <c r="E466">
        <f>ROUNDUP(MONTH(B466)/3,0)</f>
        <v/>
      </c>
      <c r="F466">
        <f>YEAR(B466)</f>
        <v/>
      </c>
    </row>
    <row r="467">
      <c r="A467">
        <f>INT(B467)</f>
        <v/>
      </c>
      <c r="B467" s="37" t="n">
        <v>46123</v>
      </c>
      <c r="C467">
        <f>TEXT(B467,"mmm")</f>
        <v/>
      </c>
      <c r="D467">
        <f>MONTH(B467)</f>
        <v/>
      </c>
      <c r="E467">
        <f>ROUNDUP(MONTH(B467)/3,0)</f>
        <v/>
      </c>
      <c r="F467">
        <f>YEAR(B467)</f>
        <v/>
      </c>
    </row>
    <row r="468">
      <c r="A468">
        <f>INT(B468)</f>
        <v/>
      </c>
      <c r="B468" s="37" t="n">
        <v>46124</v>
      </c>
      <c r="C468">
        <f>TEXT(B468,"mmm")</f>
        <v/>
      </c>
      <c r="D468">
        <f>MONTH(B468)</f>
        <v/>
      </c>
      <c r="E468">
        <f>ROUNDUP(MONTH(B468)/3,0)</f>
        <v/>
      </c>
      <c r="F468">
        <f>YEAR(B468)</f>
        <v/>
      </c>
    </row>
    <row r="469">
      <c r="A469">
        <f>INT(B469)</f>
        <v/>
      </c>
      <c r="B469" s="37" t="n">
        <v>46125</v>
      </c>
      <c r="C469">
        <f>TEXT(B469,"mmm")</f>
        <v/>
      </c>
      <c r="D469">
        <f>MONTH(B469)</f>
        <v/>
      </c>
      <c r="E469">
        <f>ROUNDUP(MONTH(B469)/3,0)</f>
        <v/>
      </c>
      <c r="F469">
        <f>YEAR(B469)</f>
        <v/>
      </c>
    </row>
    <row r="470">
      <c r="A470">
        <f>INT(B470)</f>
        <v/>
      </c>
      <c r="B470" s="37" t="n">
        <v>46126</v>
      </c>
      <c r="C470">
        <f>TEXT(B470,"mmm")</f>
        <v/>
      </c>
      <c r="D470">
        <f>MONTH(B470)</f>
        <v/>
      </c>
      <c r="E470">
        <f>ROUNDUP(MONTH(B470)/3,0)</f>
        <v/>
      </c>
      <c r="F470">
        <f>YEAR(B470)</f>
        <v/>
      </c>
    </row>
    <row r="471">
      <c r="A471">
        <f>INT(B471)</f>
        <v/>
      </c>
      <c r="B471" s="37" t="n">
        <v>46127</v>
      </c>
      <c r="C471">
        <f>TEXT(B471,"mmm")</f>
        <v/>
      </c>
      <c r="D471">
        <f>MONTH(B471)</f>
        <v/>
      </c>
      <c r="E471">
        <f>ROUNDUP(MONTH(B471)/3,0)</f>
        <v/>
      </c>
      <c r="F471">
        <f>YEAR(B471)</f>
        <v/>
      </c>
    </row>
    <row r="472">
      <c r="A472">
        <f>INT(B472)</f>
        <v/>
      </c>
      <c r="B472" s="37" t="n">
        <v>46128</v>
      </c>
      <c r="C472">
        <f>TEXT(B472,"mmm")</f>
        <v/>
      </c>
      <c r="D472">
        <f>MONTH(B472)</f>
        <v/>
      </c>
      <c r="E472">
        <f>ROUNDUP(MONTH(B472)/3,0)</f>
        <v/>
      </c>
      <c r="F472">
        <f>YEAR(B472)</f>
        <v/>
      </c>
    </row>
    <row r="473">
      <c r="A473">
        <f>INT(B473)</f>
        <v/>
      </c>
      <c r="B473" s="37" t="n">
        <v>46129</v>
      </c>
      <c r="C473">
        <f>TEXT(B473,"mmm")</f>
        <v/>
      </c>
      <c r="D473">
        <f>MONTH(B473)</f>
        <v/>
      </c>
      <c r="E473">
        <f>ROUNDUP(MONTH(B473)/3,0)</f>
        <v/>
      </c>
      <c r="F473">
        <f>YEAR(B473)</f>
        <v/>
      </c>
    </row>
    <row r="474">
      <c r="A474">
        <f>INT(B474)</f>
        <v/>
      </c>
      <c r="B474" s="37" t="n">
        <v>46130</v>
      </c>
      <c r="C474">
        <f>TEXT(B474,"mmm")</f>
        <v/>
      </c>
      <c r="D474">
        <f>MONTH(B474)</f>
        <v/>
      </c>
      <c r="E474">
        <f>ROUNDUP(MONTH(B474)/3,0)</f>
        <v/>
      </c>
      <c r="F474">
        <f>YEAR(B474)</f>
        <v/>
      </c>
    </row>
    <row r="475">
      <c r="A475">
        <f>INT(B475)</f>
        <v/>
      </c>
      <c r="B475" s="37" t="n">
        <v>46131</v>
      </c>
      <c r="C475">
        <f>TEXT(B475,"mmm")</f>
        <v/>
      </c>
      <c r="D475">
        <f>MONTH(B475)</f>
        <v/>
      </c>
      <c r="E475">
        <f>ROUNDUP(MONTH(B475)/3,0)</f>
        <v/>
      </c>
      <c r="F475">
        <f>YEAR(B475)</f>
        <v/>
      </c>
    </row>
    <row r="476">
      <c r="A476">
        <f>INT(B476)</f>
        <v/>
      </c>
      <c r="B476" s="37" t="n">
        <v>46132</v>
      </c>
      <c r="C476">
        <f>TEXT(B476,"mmm")</f>
        <v/>
      </c>
      <c r="D476">
        <f>MONTH(B476)</f>
        <v/>
      </c>
      <c r="E476">
        <f>ROUNDUP(MONTH(B476)/3,0)</f>
        <v/>
      </c>
      <c r="F476">
        <f>YEAR(B476)</f>
        <v/>
      </c>
    </row>
    <row r="477">
      <c r="A477">
        <f>INT(B477)</f>
        <v/>
      </c>
      <c r="B477" s="37" t="n">
        <v>46133</v>
      </c>
      <c r="C477">
        <f>TEXT(B477,"mmm")</f>
        <v/>
      </c>
      <c r="D477">
        <f>MONTH(B477)</f>
        <v/>
      </c>
      <c r="E477">
        <f>ROUNDUP(MONTH(B477)/3,0)</f>
        <v/>
      </c>
      <c r="F477">
        <f>YEAR(B477)</f>
        <v/>
      </c>
    </row>
    <row r="478">
      <c r="A478">
        <f>INT(B478)</f>
        <v/>
      </c>
      <c r="B478" s="37" t="n">
        <v>46134</v>
      </c>
      <c r="C478">
        <f>TEXT(B478,"mmm")</f>
        <v/>
      </c>
      <c r="D478">
        <f>MONTH(B478)</f>
        <v/>
      </c>
      <c r="E478">
        <f>ROUNDUP(MONTH(B478)/3,0)</f>
        <v/>
      </c>
      <c r="F478">
        <f>YEAR(B478)</f>
        <v/>
      </c>
    </row>
    <row r="479">
      <c r="A479">
        <f>INT(B479)</f>
        <v/>
      </c>
      <c r="B479" s="37" t="n">
        <v>46135</v>
      </c>
      <c r="C479">
        <f>TEXT(B479,"mmm")</f>
        <v/>
      </c>
      <c r="D479">
        <f>MONTH(B479)</f>
        <v/>
      </c>
      <c r="E479">
        <f>ROUNDUP(MONTH(B479)/3,0)</f>
        <v/>
      </c>
      <c r="F479">
        <f>YEAR(B479)</f>
        <v/>
      </c>
    </row>
    <row r="480">
      <c r="A480">
        <f>INT(B480)</f>
        <v/>
      </c>
      <c r="B480" s="37" t="n">
        <v>46136</v>
      </c>
      <c r="C480">
        <f>TEXT(B480,"mmm")</f>
        <v/>
      </c>
      <c r="D480">
        <f>MONTH(B480)</f>
        <v/>
      </c>
      <c r="E480">
        <f>ROUNDUP(MONTH(B480)/3,0)</f>
        <v/>
      </c>
      <c r="F480">
        <f>YEAR(B480)</f>
        <v/>
      </c>
    </row>
    <row r="481">
      <c r="A481">
        <f>INT(B481)</f>
        <v/>
      </c>
      <c r="B481" s="37" t="n">
        <v>46137</v>
      </c>
      <c r="C481">
        <f>TEXT(B481,"mmm")</f>
        <v/>
      </c>
      <c r="D481">
        <f>MONTH(B481)</f>
        <v/>
      </c>
      <c r="E481">
        <f>ROUNDUP(MONTH(B481)/3,0)</f>
        <v/>
      </c>
      <c r="F481">
        <f>YEAR(B481)</f>
        <v/>
      </c>
    </row>
    <row r="482">
      <c r="A482">
        <f>INT(B482)</f>
        <v/>
      </c>
      <c r="B482" s="37" t="n">
        <v>46138</v>
      </c>
      <c r="C482">
        <f>TEXT(B482,"mmm")</f>
        <v/>
      </c>
      <c r="D482">
        <f>MONTH(B482)</f>
        <v/>
      </c>
      <c r="E482">
        <f>ROUNDUP(MONTH(B482)/3,0)</f>
        <v/>
      </c>
      <c r="F482">
        <f>YEAR(B482)</f>
        <v/>
      </c>
    </row>
    <row r="483">
      <c r="A483">
        <f>INT(B483)</f>
        <v/>
      </c>
      <c r="B483" s="37" t="n">
        <v>46139</v>
      </c>
      <c r="C483">
        <f>TEXT(B483,"mmm")</f>
        <v/>
      </c>
      <c r="D483">
        <f>MONTH(B483)</f>
        <v/>
      </c>
      <c r="E483">
        <f>ROUNDUP(MONTH(B483)/3,0)</f>
        <v/>
      </c>
      <c r="F483">
        <f>YEAR(B483)</f>
        <v/>
      </c>
    </row>
    <row r="484">
      <c r="A484">
        <f>INT(B484)</f>
        <v/>
      </c>
      <c r="B484" s="37" t="n">
        <v>46140</v>
      </c>
      <c r="C484">
        <f>TEXT(B484,"mmm")</f>
        <v/>
      </c>
      <c r="D484">
        <f>MONTH(B484)</f>
        <v/>
      </c>
      <c r="E484">
        <f>ROUNDUP(MONTH(B484)/3,0)</f>
        <v/>
      </c>
      <c r="F484">
        <f>YEAR(B484)</f>
        <v/>
      </c>
    </row>
    <row r="485">
      <c r="A485">
        <f>INT(B485)</f>
        <v/>
      </c>
      <c r="B485" s="37" t="n">
        <v>46141</v>
      </c>
      <c r="C485">
        <f>TEXT(B485,"mmm")</f>
        <v/>
      </c>
      <c r="D485">
        <f>MONTH(B485)</f>
        <v/>
      </c>
      <c r="E485">
        <f>ROUNDUP(MONTH(B485)/3,0)</f>
        <v/>
      </c>
      <c r="F485">
        <f>YEAR(B485)</f>
        <v/>
      </c>
    </row>
    <row r="486">
      <c r="A486">
        <f>INT(B486)</f>
        <v/>
      </c>
      <c r="B486" s="37" t="n">
        <v>46142</v>
      </c>
      <c r="C486">
        <f>TEXT(B486,"mmm")</f>
        <v/>
      </c>
      <c r="D486">
        <f>MONTH(B486)</f>
        <v/>
      </c>
      <c r="E486">
        <f>ROUNDUP(MONTH(B486)/3,0)</f>
        <v/>
      </c>
      <c r="F486">
        <f>YEAR(B486)</f>
        <v/>
      </c>
    </row>
    <row r="487">
      <c r="A487">
        <f>INT(B487)</f>
        <v/>
      </c>
      <c r="B487" s="37" t="n">
        <v>46143</v>
      </c>
      <c r="C487">
        <f>TEXT(B487,"mmm")</f>
        <v/>
      </c>
      <c r="D487">
        <f>MONTH(B487)</f>
        <v/>
      </c>
      <c r="E487">
        <f>ROUNDUP(MONTH(B487)/3,0)</f>
        <v/>
      </c>
      <c r="F487">
        <f>YEAR(B487)</f>
        <v/>
      </c>
    </row>
    <row r="488">
      <c r="A488">
        <f>INT(B488)</f>
        <v/>
      </c>
      <c r="B488" s="37" t="n">
        <v>46144</v>
      </c>
      <c r="C488">
        <f>TEXT(B488,"mmm")</f>
        <v/>
      </c>
      <c r="D488">
        <f>MONTH(B488)</f>
        <v/>
      </c>
      <c r="E488">
        <f>ROUNDUP(MONTH(B488)/3,0)</f>
        <v/>
      </c>
      <c r="F488">
        <f>YEAR(B488)</f>
        <v/>
      </c>
    </row>
    <row r="489">
      <c r="A489">
        <f>INT(B489)</f>
        <v/>
      </c>
      <c r="B489" s="37" t="n">
        <v>46145</v>
      </c>
      <c r="C489">
        <f>TEXT(B489,"mmm")</f>
        <v/>
      </c>
      <c r="D489">
        <f>MONTH(B489)</f>
        <v/>
      </c>
      <c r="E489">
        <f>ROUNDUP(MONTH(B489)/3,0)</f>
        <v/>
      </c>
      <c r="F489">
        <f>YEAR(B489)</f>
        <v/>
      </c>
    </row>
    <row r="490">
      <c r="A490">
        <f>INT(B490)</f>
        <v/>
      </c>
      <c r="B490" s="37" t="n">
        <v>46146</v>
      </c>
      <c r="C490">
        <f>TEXT(B490,"mmm")</f>
        <v/>
      </c>
      <c r="D490">
        <f>MONTH(B490)</f>
        <v/>
      </c>
      <c r="E490">
        <f>ROUNDUP(MONTH(B490)/3,0)</f>
        <v/>
      </c>
      <c r="F490">
        <f>YEAR(B490)</f>
        <v/>
      </c>
    </row>
    <row r="491">
      <c r="A491">
        <f>INT(B491)</f>
        <v/>
      </c>
      <c r="B491" s="37" t="n">
        <v>46147</v>
      </c>
      <c r="C491">
        <f>TEXT(B491,"mmm")</f>
        <v/>
      </c>
      <c r="D491">
        <f>MONTH(B491)</f>
        <v/>
      </c>
      <c r="E491">
        <f>ROUNDUP(MONTH(B491)/3,0)</f>
        <v/>
      </c>
      <c r="F491">
        <f>YEAR(B491)</f>
        <v/>
      </c>
    </row>
    <row r="492">
      <c r="A492">
        <f>INT(B492)</f>
        <v/>
      </c>
      <c r="B492" s="37" t="n">
        <v>46148</v>
      </c>
      <c r="C492">
        <f>TEXT(B492,"mmm")</f>
        <v/>
      </c>
      <c r="D492">
        <f>MONTH(B492)</f>
        <v/>
      </c>
      <c r="E492">
        <f>ROUNDUP(MONTH(B492)/3,0)</f>
        <v/>
      </c>
      <c r="F492">
        <f>YEAR(B492)</f>
        <v/>
      </c>
    </row>
    <row r="493">
      <c r="A493">
        <f>INT(B493)</f>
        <v/>
      </c>
      <c r="B493" s="37" t="n">
        <v>46149</v>
      </c>
      <c r="C493">
        <f>TEXT(B493,"mmm")</f>
        <v/>
      </c>
      <c r="D493">
        <f>MONTH(B493)</f>
        <v/>
      </c>
      <c r="E493">
        <f>ROUNDUP(MONTH(B493)/3,0)</f>
        <v/>
      </c>
      <c r="F493">
        <f>YEAR(B493)</f>
        <v/>
      </c>
    </row>
    <row r="494">
      <c r="A494">
        <f>INT(B494)</f>
        <v/>
      </c>
      <c r="B494" s="37" t="n">
        <v>46150</v>
      </c>
      <c r="C494">
        <f>TEXT(B494,"mmm")</f>
        <v/>
      </c>
      <c r="D494">
        <f>MONTH(B494)</f>
        <v/>
      </c>
      <c r="E494">
        <f>ROUNDUP(MONTH(B494)/3,0)</f>
        <v/>
      </c>
      <c r="F494">
        <f>YEAR(B494)</f>
        <v/>
      </c>
    </row>
    <row r="495">
      <c r="A495">
        <f>INT(B495)</f>
        <v/>
      </c>
      <c r="B495" s="37" t="n">
        <v>46151</v>
      </c>
      <c r="C495">
        <f>TEXT(B495,"mmm")</f>
        <v/>
      </c>
      <c r="D495">
        <f>MONTH(B495)</f>
        <v/>
      </c>
      <c r="E495">
        <f>ROUNDUP(MONTH(B495)/3,0)</f>
        <v/>
      </c>
      <c r="F495">
        <f>YEAR(B495)</f>
        <v/>
      </c>
    </row>
    <row r="496">
      <c r="A496">
        <f>INT(B496)</f>
        <v/>
      </c>
      <c r="B496" s="37" t="n">
        <v>46152</v>
      </c>
      <c r="C496">
        <f>TEXT(B496,"mmm")</f>
        <v/>
      </c>
      <c r="D496">
        <f>MONTH(B496)</f>
        <v/>
      </c>
      <c r="E496">
        <f>ROUNDUP(MONTH(B496)/3,0)</f>
        <v/>
      </c>
      <c r="F496">
        <f>YEAR(B496)</f>
        <v/>
      </c>
    </row>
    <row r="497">
      <c r="A497">
        <f>INT(B497)</f>
        <v/>
      </c>
      <c r="B497" s="37" t="n">
        <v>46153</v>
      </c>
      <c r="C497">
        <f>TEXT(B497,"mmm")</f>
        <v/>
      </c>
      <c r="D497">
        <f>MONTH(B497)</f>
        <v/>
      </c>
      <c r="E497">
        <f>ROUNDUP(MONTH(B497)/3,0)</f>
        <v/>
      </c>
      <c r="F497">
        <f>YEAR(B497)</f>
        <v/>
      </c>
    </row>
    <row r="498">
      <c r="A498">
        <f>INT(B498)</f>
        <v/>
      </c>
      <c r="B498" s="37" t="n">
        <v>46154</v>
      </c>
      <c r="C498">
        <f>TEXT(B498,"mmm")</f>
        <v/>
      </c>
      <c r="D498">
        <f>MONTH(B498)</f>
        <v/>
      </c>
      <c r="E498">
        <f>ROUNDUP(MONTH(B498)/3,0)</f>
        <v/>
      </c>
      <c r="F498">
        <f>YEAR(B498)</f>
        <v/>
      </c>
    </row>
    <row r="499">
      <c r="A499">
        <f>INT(B499)</f>
        <v/>
      </c>
      <c r="B499" s="37" t="n">
        <v>46155</v>
      </c>
      <c r="C499">
        <f>TEXT(B499,"mmm")</f>
        <v/>
      </c>
      <c r="D499">
        <f>MONTH(B499)</f>
        <v/>
      </c>
      <c r="E499">
        <f>ROUNDUP(MONTH(B499)/3,0)</f>
        <v/>
      </c>
      <c r="F499">
        <f>YEAR(B499)</f>
        <v/>
      </c>
    </row>
    <row r="500">
      <c r="A500">
        <f>INT(B500)</f>
        <v/>
      </c>
      <c r="B500" s="37" t="n">
        <v>46156</v>
      </c>
      <c r="C500">
        <f>TEXT(B500,"mmm")</f>
        <v/>
      </c>
      <c r="D500">
        <f>MONTH(B500)</f>
        <v/>
      </c>
      <c r="E500">
        <f>ROUNDUP(MONTH(B500)/3,0)</f>
        <v/>
      </c>
      <c r="F500">
        <f>YEAR(B500)</f>
        <v/>
      </c>
    </row>
    <row r="501">
      <c r="A501">
        <f>INT(B501)</f>
        <v/>
      </c>
      <c r="B501" s="37" t="n">
        <v>46157</v>
      </c>
      <c r="C501">
        <f>TEXT(B501,"mmm")</f>
        <v/>
      </c>
      <c r="D501">
        <f>MONTH(B501)</f>
        <v/>
      </c>
      <c r="E501">
        <f>ROUNDUP(MONTH(B501)/3,0)</f>
        <v/>
      </c>
      <c r="F501">
        <f>YEAR(B501)</f>
        <v/>
      </c>
    </row>
    <row r="502">
      <c r="A502">
        <f>INT(B502)</f>
        <v/>
      </c>
      <c r="B502" s="37" t="n">
        <v>46158</v>
      </c>
      <c r="C502">
        <f>TEXT(B502,"mmm")</f>
        <v/>
      </c>
      <c r="D502">
        <f>MONTH(B502)</f>
        <v/>
      </c>
      <c r="E502">
        <f>ROUNDUP(MONTH(B502)/3,0)</f>
        <v/>
      </c>
      <c r="F502">
        <f>YEAR(B502)</f>
        <v/>
      </c>
    </row>
    <row r="503">
      <c r="A503">
        <f>INT(B503)</f>
        <v/>
      </c>
      <c r="B503" s="37" t="n">
        <v>46159</v>
      </c>
      <c r="C503">
        <f>TEXT(B503,"mmm")</f>
        <v/>
      </c>
      <c r="D503">
        <f>MONTH(B503)</f>
        <v/>
      </c>
      <c r="E503">
        <f>ROUNDUP(MONTH(B503)/3,0)</f>
        <v/>
      </c>
      <c r="F503">
        <f>YEAR(B503)</f>
        <v/>
      </c>
    </row>
    <row r="504">
      <c r="A504">
        <f>INT(B504)</f>
        <v/>
      </c>
      <c r="B504" s="37" t="n">
        <v>46160</v>
      </c>
      <c r="C504">
        <f>TEXT(B504,"mmm")</f>
        <v/>
      </c>
      <c r="D504">
        <f>MONTH(B504)</f>
        <v/>
      </c>
      <c r="E504">
        <f>ROUNDUP(MONTH(B504)/3,0)</f>
        <v/>
      </c>
      <c r="F504">
        <f>YEAR(B504)</f>
        <v/>
      </c>
    </row>
    <row r="505">
      <c r="A505">
        <f>INT(B505)</f>
        <v/>
      </c>
      <c r="B505" s="37" t="n">
        <v>46161</v>
      </c>
      <c r="C505">
        <f>TEXT(B505,"mmm")</f>
        <v/>
      </c>
      <c r="D505">
        <f>MONTH(B505)</f>
        <v/>
      </c>
      <c r="E505">
        <f>ROUNDUP(MONTH(B505)/3,0)</f>
        <v/>
      </c>
      <c r="F505">
        <f>YEAR(B505)</f>
        <v/>
      </c>
    </row>
    <row r="506">
      <c r="A506">
        <f>INT(B506)</f>
        <v/>
      </c>
      <c r="B506" s="37" t="n">
        <v>46162</v>
      </c>
      <c r="C506">
        <f>TEXT(B506,"mmm")</f>
        <v/>
      </c>
      <c r="D506">
        <f>MONTH(B506)</f>
        <v/>
      </c>
      <c r="E506">
        <f>ROUNDUP(MONTH(B506)/3,0)</f>
        <v/>
      </c>
      <c r="F506">
        <f>YEAR(B506)</f>
        <v/>
      </c>
    </row>
    <row r="507">
      <c r="A507">
        <f>INT(B507)</f>
        <v/>
      </c>
      <c r="B507" s="37" t="n">
        <v>46163</v>
      </c>
      <c r="C507">
        <f>TEXT(B507,"mmm")</f>
        <v/>
      </c>
      <c r="D507">
        <f>MONTH(B507)</f>
        <v/>
      </c>
      <c r="E507">
        <f>ROUNDUP(MONTH(B507)/3,0)</f>
        <v/>
      </c>
      <c r="F507">
        <f>YEAR(B507)</f>
        <v/>
      </c>
    </row>
    <row r="508">
      <c r="A508">
        <f>INT(B508)</f>
        <v/>
      </c>
      <c r="B508" s="37" t="n">
        <v>46164</v>
      </c>
      <c r="C508">
        <f>TEXT(B508,"mmm")</f>
        <v/>
      </c>
      <c r="D508">
        <f>MONTH(B508)</f>
        <v/>
      </c>
      <c r="E508">
        <f>ROUNDUP(MONTH(B508)/3,0)</f>
        <v/>
      </c>
      <c r="F508">
        <f>YEAR(B508)</f>
        <v/>
      </c>
    </row>
    <row r="509">
      <c r="A509">
        <f>INT(B509)</f>
        <v/>
      </c>
      <c r="B509" s="37" t="n">
        <v>46165</v>
      </c>
      <c r="C509">
        <f>TEXT(B509,"mmm")</f>
        <v/>
      </c>
      <c r="D509">
        <f>MONTH(B509)</f>
        <v/>
      </c>
      <c r="E509">
        <f>ROUNDUP(MONTH(B509)/3,0)</f>
        <v/>
      </c>
      <c r="F509">
        <f>YEAR(B509)</f>
        <v/>
      </c>
    </row>
    <row r="510">
      <c r="A510">
        <f>INT(B510)</f>
        <v/>
      </c>
      <c r="B510" s="37" t="n">
        <v>46166</v>
      </c>
      <c r="C510">
        <f>TEXT(B510,"mmm")</f>
        <v/>
      </c>
      <c r="D510">
        <f>MONTH(B510)</f>
        <v/>
      </c>
      <c r="E510">
        <f>ROUNDUP(MONTH(B510)/3,0)</f>
        <v/>
      </c>
      <c r="F510">
        <f>YEAR(B510)</f>
        <v/>
      </c>
    </row>
    <row r="511">
      <c r="A511">
        <f>INT(B511)</f>
        <v/>
      </c>
      <c r="B511" s="37" t="n">
        <v>46167</v>
      </c>
      <c r="C511">
        <f>TEXT(B511,"mmm")</f>
        <v/>
      </c>
      <c r="D511">
        <f>MONTH(B511)</f>
        <v/>
      </c>
      <c r="E511">
        <f>ROUNDUP(MONTH(B511)/3,0)</f>
        <v/>
      </c>
      <c r="F511">
        <f>YEAR(B511)</f>
        <v/>
      </c>
    </row>
    <row r="512">
      <c r="A512">
        <f>INT(B512)</f>
        <v/>
      </c>
      <c r="B512" s="37" t="n">
        <v>46168</v>
      </c>
      <c r="C512">
        <f>TEXT(B512,"mmm")</f>
        <v/>
      </c>
      <c r="D512">
        <f>MONTH(B512)</f>
        <v/>
      </c>
      <c r="E512">
        <f>ROUNDUP(MONTH(B512)/3,0)</f>
        <v/>
      </c>
      <c r="F512">
        <f>YEAR(B512)</f>
        <v/>
      </c>
    </row>
    <row r="513">
      <c r="A513">
        <f>INT(B513)</f>
        <v/>
      </c>
      <c r="B513" s="37" t="n">
        <v>46169</v>
      </c>
      <c r="C513">
        <f>TEXT(B513,"mmm")</f>
        <v/>
      </c>
      <c r="D513">
        <f>MONTH(B513)</f>
        <v/>
      </c>
      <c r="E513">
        <f>ROUNDUP(MONTH(B513)/3,0)</f>
        <v/>
      </c>
      <c r="F513">
        <f>YEAR(B513)</f>
        <v/>
      </c>
    </row>
    <row r="514">
      <c r="A514">
        <f>INT(B514)</f>
        <v/>
      </c>
      <c r="B514" s="37" t="n">
        <v>46170</v>
      </c>
      <c r="C514">
        <f>TEXT(B514,"mmm")</f>
        <v/>
      </c>
      <c r="D514">
        <f>MONTH(B514)</f>
        <v/>
      </c>
      <c r="E514">
        <f>ROUNDUP(MONTH(B514)/3,0)</f>
        <v/>
      </c>
      <c r="F514">
        <f>YEAR(B514)</f>
        <v/>
      </c>
    </row>
    <row r="515">
      <c r="A515">
        <f>INT(B515)</f>
        <v/>
      </c>
      <c r="B515" s="37" t="n">
        <v>46171</v>
      </c>
      <c r="C515">
        <f>TEXT(B515,"mmm")</f>
        <v/>
      </c>
      <c r="D515">
        <f>MONTH(B515)</f>
        <v/>
      </c>
      <c r="E515">
        <f>ROUNDUP(MONTH(B515)/3,0)</f>
        <v/>
      </c>
      <c r="F515">
        <f>YEAR(B515)</f>
        <v/>
      </c>
    </row>
    <row r="516">
      <c r="A516">
        <f>INT(B516)</f>
        <v/>
      </c>
      <c r="B516" s="37" t="n">
        <v>46172</v>
      </c>
      <c r="C516">
        <f>TEXT(B516,"mmm")</f>
        <v/>
      </c>
      <c r="D516">
        <f>MONTH(B516)</f>
        <v/>
      </c>
      <c r="E516">
        <f>ROUNDUP(MONTH(B516)/3,0)</f>
        <v/>
      </c>
      <c r="F516">
        <f>YEAR(B516)</f>
        <v/>
      </c>
    </row>
    <row r="517">
      <c r="A517">
        <f>INT(B517)</f>
        <v/>
      </c>
      <c r="B517" s="37" t="n">
        <v>46173</v>
      </c>
      <c r="C517">
        <f>TEXT(B517,"mmm")</f>
        <v/>
      </c>
      <c r="D517">
        <f>MONTH(B517)</f>
        <v/>
      </c>
      <c r="E517">
        <f>ROUNDUP(MONTH(B517)/3,0)</f>
        <v/>
      </c>
      <c r="F517">
        <f>YEAR(B517)</f>
        <v/>
      </c>
    </row>
    <row r="518">
      <c r="A518">
        <f>INT(B518)</f>
        <v/>
      </c>
      <c r="B518" s="37" t="n">
        <v>46174</v>
      </c>
      <c r="C518">
        <f>TEXT(B518,"mmm")</f>
        <v/>
      </c>
      <c r="D518">
        <f>MONTH(B518)</f>
        <v/>
      </c>
      <c r="E518">
        <f>ROUNDUP(MONTH(B518)/3,0)</f>
        <v/>
      </c>
      <c r="F518">
        <f>YEAR(B518)</f>
        <v/>
      </c>
    </row>
    <row r="519">
      <c r="A519">
        <f>INT(B519)</f>
        <v/>
      </c>
      <c r="B519" s="37" t="n">
        <v>46175</v>
      </c>
      <c r="C519">
        <f>TEXT(B519,"mmm")</f>
        <v/>
      </c>
      <c r="D519">
        <f>MONTH(B519)</f>
        <v/>
      </c>
      <c r="E519">
        <f>ROUNDUP(MONTH(B519)/3,0)</f>
        <v/>
      </c>
      <c r="F519">
        <f>YEAR(B519)</f>
        <v/>
      </c>
    </row>
    <row r="520">
      <c r="A520">
        <f>INT(B520)</f>
        <v/>
      </c>
      <c r="B520" s="37" t="n">
        <v>46176</v>
      </c>
      <c r="C520">
        <f>TEXT(B520,"mmm")</f>
        <v/>
      </c>
      <c r="D520">
        <f>MONTH(B520)</f>
        <v/>
      </c>
      <c r="E520">
        <f>ROUNDUP(MONTH(B520)/3,0)</f>
        <v/>
      </c>
      <c r="F520">
        <f>YEAR(B520)</f>
        <v/>
      </c>
    </row>
    <row r="521">
      <c r="A521">
        <f>INT(B521)</f>
        <v/>
      </c>
      <c r="B521" s="37" t="n">
        <v>46177</v>
      </c>
      <c r="C521">
        <f>TEXT(B521,"mmm")</f>
        <v/>
      </c>
      <c r="D521">
        <f>MONTH(B521)</f>
        <v/>
      </c>
      <c r="E521">
        <f>ROUNDUP(MONTH(B521)/3,0)</f>
        <v/>
      </c>
      <c r="F521">
        <f>YEAR(B521)</f>
        <v/>
      </c>
    </row>
    <row r="522">
      <c r="A522">
        <f>INT(B522)</f>
        <v/>
      </c>
      <c r="B522" s="37" t="n">
        <v>46178</v>
      </c>
      <c r="C522">
        <f>TEXT(B522,"mmm")</f>
        <v/>
      </c>
      <c r="D522">
        <f>MONTH(B522)</f>
        <v/>
      </c>
      <c r="E522">
        <f>ROUNDUP(MONTH(B522)/3,0)</f>
        <v/>
      </c>
      <c r="F522">
        <f>YEAR(B522)</f>
        <v/>
      </c>
    </row>
    <row r="523">
      <c r="A523">
        <f>INT(B523)</f>
        <v/>
      </c>
      <c r="B523" s="37" t="n">
        <v>46179</v>
      </c>
      <c r="C523">
        <f>TEXT(B523,"mmm")</f>
        <v/>
      </c>
      <c r="D523">
        <f>MONTH(B523)</f>
        <v/>
      </c>
      <c r="E523">
        <f>ROUNDUP(MONTH(B523)/3,0)</f>
        <v/>
      </c>
      <c r="F523">
        <f>YEAR(B523)</f>
        <v/>
      </c>
    </row>
    <row r="524">
      <c r="A524">
        <f>INT(B524)</f>
        <v/>
      </c>
      <c r="B524" s="37" t="n">
        <v>46180</v>
      </c>
      <c r="C524">
        <f>TEXT(B524,"mmm")</f>
        <v/>
      </c>
      <c r="D524">
        <f>MONTH(B524)</f>
        <v/>
      </c>
      <c r="E524">
        <f>ROUNDUP(MONTH(B524)/3,0)</f>
        <v/>
      </c>
      <c r="F524">
        <f>YEAR(B524)</f>
        <v/>
      </c>
    </row>
    <row r="525">
      <c r="A525">
        <f>INT(B525)</f>
        <v/>
      </c>
      <c r="B525" s="37" t="n">
        <v>46181</v>
      </c>
      <c r="C525">
        <f>TEXT(B525,"mmm")</f>
        <v/>
      </c>
      <c r="D525">
        <f>MONTH(B525)</f>
        <v/>
      </c>
      <c r="E525">
        <f>ROUNDUP(MONTH(B525)/3,0)</f>
        <v/>
      </c>
      <c r="F525">
        <f>YEAR(B525)</f>
        <v/>
      </c>
    </row>
    <row r="526">
      <c r="A526">
        <f>INT(B526)</f>
        <v/>
      </c>
      <c r="B526" s="37" t="n">
        <v>46182</v>
      </c>
      <c r="C526">
        <f>TEXT(B526,"mmm")</f>
        <v/>
      </c>
      <c r="D526">
        <f>MONTH(B526)</f>
        <v/>
      </c>
      <c r="E526">
        <f>ROUNDUP(MONTH(B526)/3,0)</f>
        <v/>
      </c>
      <c r="F526">
        <f>YEAR(B526)</f>
        <v/>
      </c>
    </row>
    <row r="527">
      <c r="A527">
        <f>INT(B527)</f>
        <v/>
      </c>
      <c r="B527" s="37" t="n">
        <v>46183</v>
      </c>
      <c r="C527">
        <f>TEXT(B527,"mmm")</f>
        <v/>
      </c>
      <c r="D527">
        <f>MONTH(B527)</f>
        <v/>
      </c>
      <c r="E527">
        <f>ROUNDUP(MONTH(B527)/3,0)</f>
        <v/>
      </c>
      <c r="F527">
        <f>YEAR(B527)</f>
        <v/>
      </c>
    </row>
    <row r="528">
      <c r="A528">
        <f>INT(B528)</f>
        <v/>
      </c>
      <c r="B528" s="37" t="n">
        <v>46184</v>
      </c>
      <c r="C528">
        <f>TEXT(B528,"mmm")</f>
        <v/>
      </c>
      <c r="D528">
        <f>MONTH(B528)</f>
        <v/>
      </c>
      <c r="E528">
        <f>ROUNDUP(MONTH(B528)/3,0)</f>
        <v/>
      </c>
      <c r="F528">
        <f>YEAR(B528)</f>
        <v/>
      </c>
    </row>
    <row r="529">
      <c r="A529">
        <f>INT(B529)</f>
        <v/>
      </c>
      <c r="B529" s="37" t="n">
        <v>46185</v>
      </c>
      <c r="C529">
        <f>TEXT(B529,"mmm")</f>
        <v/>
      </c>
      <c r="D529">
        <f>MONTH(B529)</f>
        <v/>
      </c>
      <c r="E529">
        <f>ROUNDUP(MONTH(B529)/3,0)</f>
        <v/>
      </c>
      <c r="F529">
        <f>YEAR(B529)</f>
        <v/>
      </c>
    </row>
    <row r="530">
      <c r="A530">
        <f>INT(B530)</f>
        <v/>
      </c>
      <c r="B530" s="37" t="n">
        <v>46186</v>
      </c>
      <c r="C530">
        <f>TEXT(B530,"mmm")</f>
        <v/>
      </c>
      <c r="D530">
        <f>MONTH(B530)</f>
        <v/>
      </c>
      <c r="E530">
        <f>ROUNDUP(MONTH(B530)/3,0)</f>
        <v/>
      </c>
      <c r="F530">
        <f>YEAR(B530)</f>
        <v/>
      </c>
    </row>
    <row r="531">
      <c r="A531">
        <f>INT(B531)</f>
        <v/>
      </c>
      <c r="B531" s="37" t="n">
        <v>46187</v>
      </c>
      <c r="C531">
        <f>TEXT(B531,"mmm")</f>
        <v/>
      </c>
      <c r="D531">
        <f>MONTH(B531)</f>
        <v/>
      </c>
      <c r="E531">
        <f>ROUNDUP(MONTH(B531)/3,0)</f>
        <v/>
      </c>
      <c r="F531">
        <f>YEAR(B531)</f>
        <v/>
      </c>
    </row>
    <row r="532">
      <c r="A532">
        <f>INT(B532)</f>
        <v/>
      </c>
      <c r="B532" s="37" t="n">
        <v>46188</v>
      </c>
      <c r="C532">
        <f>TEXT(B532,"mmm")</f>
        <v/>
      </c>
      <c r="D532">
        <f>MONTH(B532)</f>
        <v/>
      </c>
      <c r="E532">
        <f>ROUNDUP(MONTH(B532)/3,0)</f>
        <v/>
      </c>
      <c r="F532">
        <f>YEAR(B532)</f>
        <v/>
      </c>
    </row>
    <row r="533">
      <c r="A533">
        <f>INT(B533)</f>
        <v/>
      </c>
      <c r="B533" s="37" t="n">
        <v>46189</v>
      </c>
      <c r="C533">
        <f>TEXT(B533,"mmm")</f>
        <v/>
      </c>
      <c r="D533">
        <f>MONTH(B533)</f>
        <v/>
      </c>
      <c r="E533">
        <f>ROUNDUP(MONTH(B533)/3,0)</f>
        <v/>
      </c>
      <c r="F533">
        <f>YEAR(B533)</f>
        <v/>
      </c>
    </row>
    <row r="534">
      <c r="A534">
        <f>INT(B534)</f>
        <v/>
      </c>
      <c r="B534" s="37" t="n">
        <v>46190</v>
      </c>
      <c r="C534">
        <f>TEXT(B534,"mmm")</f>
        <v/>
      </c>
      <c r="D534">
        <f>MONTH(B534)</f>
        <v/>
      </c>
      <c r="E534">
        <f>ROUNDUP(MONTH(B534)/3,0)</f>
        <v/>
      </c>
      <c r="F534">
        <f>YEAR(B534)</f>
        <v/>
      </c>
    </row>
    <row r="535">
      <c r="A535">
        <f>INT(B535)</f>
        <v/>
      </c>
      <c r="B535" s="37" t="n">
        <v>46191</v>
      </c>
      <c r="C535">
        <f>TEXT(B535,"mmm")</f>
        <v/>
      </c>
      <c r="D535">
        <f>MONTH(B535)</f>
        <v/>
      </c>
      <c r="E535">
        <f>ROUNDUP(MONTH(B535)/3,0)</f>
        <v/>
      </c>
      <c r="F535">
        <f>YEAR(B535)</f>
        <v/>
      </c>
    </row>
    <row r="536">
      <c r="A536">
        <f>INT(B536)</f>
        <v/>
      </c>
      <c r="B536" s="37" t="n">
        <v>46192</v>
      </c>
      <c r="C536">
        <f>TEXT(B536,"mmm")</f>
        <v/>
      </c>
      <c r="D536">
        <f>MONTH(B536)</f>
        <v/>
      </c>
      <c r="E536">
        <f>ROUNDUP(MONTH(B536)/3,0)</f>
        <v/>
      </c>
      <c r="F536">
        <f>YEAR(B536)</f>
        <v/>
      </c>
    </row>
    <row r="537">
      <c r="A537">
        <f>INT(B537)</f>
        <v/>
      </c>
      <c r="B537" s="37" t="n">
        <v>46193</v>
      </c>
      <c r="C537">
        <f>TEXT(B537,"mmm")</f>
        <v/>
      </c>
      <c r="D537">
        <f>MONTH(B537)</f>
        <v/>
      </c>
      <c r="E537">
        <f>ROUNDUP(MONTH(B537)/3,0)</f>
        <v/>
      </c>
      <c r="F537">
        <f>YEAR(B537)</f>
        <v/>
      </c>
    </row>
    <row r="538">
      <c r="A538">
        <f>INT(B538)</f>
        <v/>
      </c>
      <c r="B538" s="37" t="n">
        <v>46194</v>
      </c>
      <c r="C538">
        <f>TEXT(B538,"mmm")</f>
        <v/>
      </c>
      <c r="D538">
        <f>MONTH(B538)</f>
        <v/>
      </c>
      <c r="E538">
        <f>ROUNDUP(MONTH(B538)/3,0)</f>
        <v/>
      </c>
      <c r="F538">
        <f>YEAR(B538)</f>
        <v/>
      </c>
    </row>
    <row r="539">
      <c r="A539">
        <f>INT(B539)</f>
        <v/>
      </c>
      <c r="B539" s="37" t="n">
        <v>46195</v>
      </c>
      <c r="C539">
        <f>TEXT(B539,"mmm")</f>
        <v/>
      </c>
      <c r="D539">
        <f>MONTH(B539)</f>
        <v/>
      </c>
      <c r="E539">
        <f>ROUNDUP(MONTH(B539)/3,0)</f>
        <v/>
      </c>
      <c r="F539">
        <f>YEAR(B539)</f>
        <v/>
      </c>
    </row>
    <row r="540">
      <c r="A540">
        <f>INT(B540)</f>
        <v/>
      </c>
      <c r="B540" s="37" t="n">
        <v>46196</v>
      </c>
      <c r="C540">
        <f>TEXT(B540,"mmm")</f>
        <v/>
      </c>
      <c r="D540">
        <f>MONTH(B540)</f>
        <v/>
      </c>
      <c r="E540">
        <f>ROUNDUP(MONTH(B540)/3,0)</f>
        <v/>
      </c>
      <c r="F540">
        <f>YEAR(B540)</f>
        <v/>
      </c>
    </row>
    <row r="541">
      <c r="A541">
        <f>INT(B541)</f>
        <v/>
      </c>
      <c r="B541" s="37" t="n">
        <v>46197</v>
      </c>
      <c r="C541">
        <f>TEXT(B541,"mmm")</f>
        <v/>
      </c>
      <c r="D541">
        <f>MONTH(B541)</f>
        <v/>
      </c>
      <c r="E541">
        <f>ROUNDUP(MONTH(B541)/3,0)</f>
        <v/>
      </c>
      <c r="F541">
        <f>YEAR(B541)</f>
        <v/>
      </c>
    </row>
    <row r="542">
      <c r="A542">
        <f>INT(B542)</f>
        <v/>
      </c>
      <c r="B542" s="37" t="n">
        <v>46198</v>
      </c>
      <c r="C542">
        <f>TEXT(B542,"mmm")</f>
        <v/>
      </c>
      <c r="D542">
        <f>MONTH(B542)</f>
        <v/>
      </c>
      <c r="E542">
        <f>ROUNDUP(MONTH(B542)/3,0)</f>
        <v/>
      </c>
      <c r="F542">
        <f>YEAR(B542)</f>
        <v/>
      </c>
    </row>
    <row r="543">
      <c r="A543">
        <f>INT(B543)</f>
        <v/>
      </c>
      <c r="B543" s="37" t="n">
        <v>46199</v>
      </c>
      <c r="C543">
        <f>TEXT(B543,"mmm")</f>
        <v/>
      </c>
      <c r="D543">
        <f>MONTH(B543)</f>
        <v/>
      </c>
      <c r="E543">
        <f>ROUNDUP(MONTH(B543)/3,0)</f>
        <v/>
      </c>
      <c r="F543">
        <f>YEAR(B543)</f>
        <v/>
      </c>
    </row>
    <row r="544">
      <c r="A544">
        <f>INT(B544)</f>
        <v/>
      </c>
      <c r="B544" s="37" t="n">
        <v>46200</v>
      </c>
      <c r="C544">
        <f>TEXT(B544,"mmm")</f>
        <v/>
      </c>
      <c r="D544">
        <f>MONTH(B544)</f>
        <v/>
      </c>
      <c r="E544">
        <f>ROUNDUP(MONTH(B544)/3,0)</f>
        <v/>
      </c>
      <c r="F544">
        <f>YEAR(B544)</f>
        <v/>
      </c>
    </row>
    <row r="545">
      <c r="A545">
        <f>INT(B545)</f>
        <v/>
      </c>
      <c r="B545" s="37" t="n">
        <v>46201</v>
      </c>
      <c r="C545">
        <f>TEXT(B545,"mmm")</f>
        <v/>
      </c>
      <c r="D545">
        <f>MONTH(B545)</f>
        <v/>
      </c>
      <c r="E545">
        <f>ROUNDUP(MONTH(B545)/3,0)</f>
        <v/>
      </c>
      <c r="F545">
        <f>YEAR(B545)</f>
        <v/>
      </c>
    </row>
    <row r="546">
      <c r="A546">
        <f>INT(B546)</f>
        <v/>
      </c>
      <c r="B546" s="37" t="n">
        <v>46202</v>
      </c>
      <c r="C546">
        <f>TEXT(B546,"mmm")</f>
        <v/>
      </c>
      <c r="D546">
        <f>MONTH(B546)</f>
        <v/>
      </c>
      <c r="E546">
        <f>ROUNDUP(MONTH(B546)/3,0)</f>
        <v/>
      </c>
      <c r="F546">
        <f>YEAR(B546)</f>
        <v/>
      </c>
    </row>
    <row r="547">
      <c r="A547">
        <f>INT(B547)</f>
        <v/>
      </c>
      <c r="B547" s="37" t="n">
        <v>46203</v>
      </c>
      <c r="C547">
        <f>TEXT(B547,"mmm")</f>
        <v/>
      </c>
      <c r="D547">
        <f>MONTH(B547)</f>
        <v/>
      </c>
      <c r="E547">
        <f>ROUNDUP(MONTH(B547)/3,0)</f>
        <v/>
      </c>
      <c r="F547">
        <f>YEAR(B547)</f>
        <v/>
      </c>
    </row>
    <row r="548">
      <c r="A548">
        <f>INT(B548)</f>
        <v/>
      </c>
      <c r="B548" s="37" t="n">
        <v>46204</v>
      </c>
      <c r="C548">
        <f>TEXT(B548,"mmm")</f>
        <v/>
      </c>
      <c r="D548">
        <f>MONTH(B548)</f>
        <v/>
      </c>
      <c r="E548">
        <f>ROUNDUP(MONTH(B548)/3,0)</f>
        <v/>
      </c>
      <c r="F548">
        <f>YEAR(B548)</f>
        <v/>
      </c>
    </row>
    <row r="549">
      <c r="A549">
        <f>INT(B549)</f>
        <v/>
      </c>
      <c r="B549" s="37" t="n">
        <v>46205</v>
      </c>
      <c r="C549">
        <f>TEXT(B549,"mmm")</f>
        <v/>
      </c>
      <c r="D549">
        <f>MONTH(B549)</f>
        <v/>
      </c>
      <c r="E549">
        <f>ROUNDUP(MONTH(B549)/3,0)</f>
        <v/>
      </c>
      <c r="F549">
        <f>YEAR(B549)</f>
        <v/>
      </c>
    </row>
    <row r="550">
      <c r="A550">
        <f>INT(B550)</f>
        <v/>
      </c>
      <c r="B550" s="37" t="n">
        <v>46206</v>
      </c>
      <c r="C550">
        <f>TEXT(B550,"mmm")</f>
        <v/>
      </c>
      <c r="D550">
        <f>MONTH(B550)</f>
        <v/>
      </c>
      <c r="E550">
        <f>ROUNDUP(MONTH(B550)/3,0)</f>
        <v/>
      </c>
      <c r="F550">
        <f>YEAR(B550)</f>
        <v/>
      </c>
    </row>
    <row r="551">
      <c r="A551">
        <f>INT(B551)</f>
        <v/>
      </c>
      <c r="B551" s="37" t="n">
        <v>46207</v>
      </c>
      <c r="C551">
        <f>TEXT(B551,"mmm")</f>
        <v/>
      </c>
      <c r="D551">
        <f>MONTH(B551)</f>
        <v/>
      </c>
      <c r="E551">
        <f>ROUNDUP(MONTH(B551)/3,0)</f>
        <v/>
      </c>
      <c r="F551">
        <f>YEAR(B551)</f>
        <v/>
      </c>
    </row>
    <row r="552">
      <c r="A552">
        <f>INT(B552)</f>
        <v/>
      </c>
      <c r="B552" s="37" t="n">
        <v>46208</v>
      </c>
      <c r="C552">
        <f>TEXT(B552,"mmm")</f>
        <v/>
      </c>
      <c r="D552">
        <f>MONTH(B552)</f>
        <v/>
      </c>
      <c r="E552">
        <f>ROUNDUP(MONTH(B552)/3,0)</f>
        <v/>
      </c>
      <c r="F552">
        <f>YEAR(B552)</f>
        <v/>
      </c>
    </row>
    <row r="553">
      <c r="A553">
        <f>INT(B553)</f>
        <v/>
      </c>
      <c r="B553" s="37" t="n">
        <v>46209</v>
      </c>
      <c r="C553">
        <f>TEXT(B553,"mmm")</f>
        <v/>
      </c>
      <c r="D553">
        <f>MONTH(B553)</f>
        <v/>
      </c>
      <c r="E553">
        <f>ROUNDUP(MONTH(B553)/3,0)</f>
        <v/>
      </c>
      <c r="F553">
        <f>YEAR(B553)</f>
        <v/>
      </c>
    </row>
    <row r="554">
      <c r="A554">
        <f>INT(B554)</f>
        <v/>
      </c>
      <c r="B554" s="37" t="n">
        <v>46210</v>
      </c>
      <c r="C554">
        <f>TEXT(B554,"mmm")</f>
        <v/>
      </c>
      <c r="D554">
        <f>MONTH(B554)</f>
        <v/>
      </c>
      <c r="E554">
        <f>ROUNDUP(MONTH(B554)/3,0)</f>
        <v/>
      </c>
      <c r="F554">
        <f>YEAR(B554)</f>
        <v/>
      </c>
    </row>
    <row r="555">
      <c r="A555">
        <f>INT(B555)</f>
        <v/>
      </c>
      <c r="B555" s="37" t="n">
        <v>46211</v>
      </c>
      <c r="C555">
        <f>TEXT(B555,"mmm")</f>
        <v/>
      </c>
      <c r="D555">
        <f>MONTH(B555)</f>
        <v/>
      </c>
      <c r="E555">
        <f>ROUNDUP(MONTH(B555)/3,0)</f>
        <v/>
      </c>
      <c r="F555">
        <f>YEAR(B555)</f>
        <v/>
      </c>
    </row>
    <row r="556">
      <c r="A556">
        <f>INT(B556)</f>
        <v/>
      </c>
      <c r="B556" s="37" t="n">
        <v>46212</v>
      </c>
      <c r="C556">
        <f>TEXT(B556,"mmm")</f>
        <v/>
      </c>
      <c r="D556">
        <f>MONTH(B556)</f>
        <v/>
      </c>
      <c r="E556">
        <f>ROUNDUP(MONTH(B556)/3,0)</f>
        <v/>
      </c>
      <c r="F556">
        <f>YEAR(B556)</f>
        <v/>
      </c>
    </row>
    <row r="557">
      <c r="A557">
        <f>INT(B557)</f>
        <v/>
      </c>
      <c r="B557" s="37" t="n">
        <v>46213</v>
      </c>
      <c r="C557">
        <f>TEXT(B557,"mmm")</f>
        <v/>
      </c>
      <c r="D557">
        <f>MONTH(B557)</f>
        <v/>
      </c>
      <c r="E557">
        <f>ROUNDUP(MONTH(B557)/3,0)</f>
        <v/>
      </c>
      <c r="F557">
        <f>YEAR(B557)</f>
        <v/>
      </c>
    </row>
    <row r="558">
      <c r="A558">
        <f>INT(B558)</f>
        <v/>
      </c>
      <c r="B558" s="37" t="n">
        <v>46214</v>
      </c>
      <c r="C558">
        <f>TEXT(B558,"mmm")</f>
        <v/>
      </c>
      <c r="D558">
        <f>MONTH(B558)</f>
        <v/>
      </c>
      <c r="E558">
        <f>ROUNDUP(MONTH(B558)/3,0)</f>
        <v/>
      </c>
      <c r="F558">
        <f>YEAR(B558)</f>
        <v/>
      </c>
    </row>
    <row r="559">
      <c r="A559">
        <f>INT(B559)</f>
        <v/>
      </c>
      <c r="B559" s="37" t="n">
        <v>46215</v>
      </c>
      <c r="C559">
        <f>TEXT(B559,"mmm")</f>
        <v/>
      </c>
      <c r="D559">
        <f>MONTH(B559)</f>
        <v/>
      </c>
      <c r="E559">
        <f>ROUNDUP(MONTH(B559)/3,0)</f>
        <v/>
      </c>
      <c r="F559">
        <f>YEAR(B559)</f>
        <v/>
      </c>
    </row>
    <row r="560">
      <c r="A560">
        <f>INT(B560)</f>
        <v/>
      </c>
      <c r="B560" s="37" t="n">
        <v>46216</v>
      </c>
      <c r="C560">
        <f>TEXT(B560,"mmm")</f>
        <v/>
      </c>
      <c r="D560">
        <f>MONTH(B560)</f>
        <v/>
      </c>
      <c r="E560">
        <f>ROUNDUP(MONTH(B560)/3,0)</f>
        <v/>
      </c>
      <c r="F560">
        <f>YEAR(B560)</f>
        <v/>
      </c>
    </row>
    <row r="561">
      <c r="A561">
        <f>INT(B561)</f>
        <v/>
      </c>
      <c r="B561" s="37" t="n">
        <v>46217</v>
      </c>
      <c r="C561">
        <f>TEXT(B561,"mmm")</f>
        <v/>
      </c>
      <c r="D561">
        <f>MONTH(B561)</f>
        <v/>
      </c>
      <c r="E561">
        <f>ROUNDUP(MONTH(B561)/3,0)</f>
        <v/>
      </c>
      <c r="F561">
        <f>YEAR(B561)</f>
        <v/>
      </c>
    </row>
    <row r="562">
      <c r="A562">
        <f>INT(B562)</f>
        <v/>
      </c>
      <c r="B562" s="37" t="n">
        <v>46218</v>
      </c>
      <c r="C562">
        <f>TEXT(B562,"mmm")</f>
        <v/>
      </c>
      <c r="D562">
        <f>MONTH(B562)</f>
        <v/>
      </c>
      <c r="E562">
        <f>ROUNDUP(MONTH(B562)/3,0)</f>
        <v/>
      </c>
      <c r="F562">
        <f>YEAR(B562)</f>
        <v/>
      </c>
    </row>
    <row r="563">
      <c r="A563">
        <f>INT(B563)</f>
        <v/>
      </c>
      <c r="B563" s="37" t="n">
        <v>46219</v>
      </c>
      <c r="C563">
        <f>TEXT(B563,"mmm")</f>
        <v/>
      </c>
      <c r="D563">
        <f>MONTH(B563)</f>
        <v/>
      </c>
      <c r="E563">
        <f>ROUNDUP(MONTH(B563)/3,0)</f>
        <v/>
      </c>
      <c r="F563">
        <f>YEAR(B563)</f>
        <v/>
      </c>
    </row>
    <row r="564">
      <c r="A564">
        <f>INT(B564)</f>
        <v/>
      </c>
      <c r="B564" s="37" t="n">
        <v>46220</v>
      </c>
      <c r="C564">
        <f>TEXT(B564,"mmm")</f>
        <v/>
      </c>
      <c r="D564">
        <f>MONTH(B564)</f>
        <v/>
      </c>
      <c r="E564">
        <f>ROUNDUP(MONTH(B564)/3,0)</f>
        <v/>
      </c>
      <c r="F564">
        <f>YEAR(B564)</f>
        <v/>
      </c>
    </row>
    <row r="565">
      <c r="A565">
        <f>INT(B565)</f>
        <v/>
      </c>
      <c r="B565" s="37" t="n">
        <v>46221</v>
      </c>
      <c r="C565">
        <f>TEXT(B565,"mmm")</f>
        <v/>
      </c>
      <c r="D565">
        <f>MONTH(B565)</f>
        <v/>
      </c>
      <c r="E565">
        <f>ROUNDUP(MONTH(B565)/3,0)</f>
        <v/>
      </c>
      <c r="F565">
        <f>YEAR(B565)</f>
        <v/>
      </c>
    </row>
    <row r="566">
      <c r="A566">
        <f>INT(B566)</f>
        <v/>
      </c>
      <c r="B566" s="37" t="n">
        <v>46222</v>
      </c>
      <c r="C566">
        <f>TEXT(B566,"mmm")</f>
        <v/>
      </c>
      <c r="D566">
        <f>MONTH(B566)</f>
        <v/>
      </c>
      <c r="E566">
        <f>ROUNDUP(MONTH(B566)/3,0)</f>
        <v/>
      </c>
      <c r="F566">
        <f>YEAR(B566)</f>
        <v/>
      </c>
    </row>
    <row r="567">
      <c r="A567">
        <f>INT(B567)</f>
        <v/>
      </c>
      <c r="B567" s="37" t="n">
        <v>46223</v>
      </c>
      <c r="C567">
        <f>TEXT(B567,"mmm")</f>
        <v/>
      </c>
      <c r="D567">
        <f>MONTH(B567)</f>
        <v/>
      </c>
      <c r="E567">
        <f>ROUNDUP(MONTH(B567)/3,0)</f>
        <v/>
      </c>
      <c r="F567">
        <f>YEAR(B567)</f>
        <v/>
      </c>
    </row>
    <row r="568">
      <c r="A568">
        <f>INT(B568)</f>
        <v/>
      </c>
      <c r="B568" s="37" t="n">
        <v>46224</v>
      </c>
      <c r="C568">
        <f>TEXT(B568,"mmm")</f>
        <v/>
      </c>
      <c r="D568">
        <f>MONTH(B568)</f>
        <v/>
      </c>
      <c r="E568">
        <f>ROUNDUP(MONTH(B568)/3,0)</f>
        <v/>
      </c>
      <c r="F568">
        <f>YEAR(B568)</f>
        <v/>
      </c>
    </row>
    <row r="569">
      <c r="A569">
        <f>INT(B569)</f>
        <v/>
      </c>
      <c r="B569" s="37" t="n">
        <v>46225</v>
      </c>
      <c r="C569">
        <f>TEXT(B569,"mmm")</f>
        <v/>
      </c>
      <c r="D569">
        <f>MONTH(B569)</f>
        <v/>
      </c>
      <c r="E569">
        <f>ROUNDUP(MONTH(B569)/3,0)</f>
        <v/>
      </c>
      <c r="F569">
        <f>YEAR(B569)</f>
        <v/>
      </c>
    </row>
    <row r="570">
      <c r="A570">
        <f>INT(B570)</f>
        <v/>
      </c>
      <c r="B570" s="37" t="n">
        <v>46226</v>
      </c>
      <c r="C570">
        <f>TEXT(B570,"mmm")</f>
        <v/>
      </c>
      <c r="D570">
        <f>MONTH(B570)</f>
        <v/>
      </c>
      <c r="E570">
        <f>ROUNDUP(MONTH(B570)/3,0)</f>
        <v/>
      </c>
      <c r="F570">
        <f>YEAR(B570)</f>
        <v/>
      </c>
    </row>
    <row r="571">
      <c r="A571">
        <f>INT(B571)</f>
        <v/>
      </c>
      <c r="B571" s="37" t="n">
        <v>46227</v>
      </c>
      <c r="C571">
        <f>TEXT(B571,"mmm")</f>
        <v/>
      </c>
      <c r="D571">
        <f>MONTH(B571)</f>
        <v/>
      </c>
      <c r="E571">
        <f>ROUNDUP(MONTH(B571)/3,0)</f>
        <v/>
      </c>
      <c r="F571">
        <f>YEAR(B571)</f>
        <v/>
      </c>
    </row>
    <row r="572">
      <c r="A572">
        <f>INT(B572)</f>
        <v/>
      </c>
      <c r="B572" s="37" t="n">
        <v>46228</v>
      </c>
      <c r="C572">
        <f>TEXT(B572,"mmm")</f>
        <v/>
      </c>
      <c r="D572">
        <f>MONTH(B572)</f>
        <v/>
      </c>
      <c r="E572">
        <f>ROUNDUP(MONTH(B572)/3,0)</f>
        <v/>
      </c>
      <c r="F572">
        <f>YEAR(B572)</f>
        <v/>
      </c>
    </row>
    <row r="573">
      <c r="A573">
        <f>INT(B573)</f>
        <v/>
      </c>
      <c r="B573" s="37" t="n">
        <v>46229</v>
      </c>
      <c r="C573">
        <f>TEXT(B573,"mmm")</f>
        <v/>
      </c>
      <c r="D573">
        <f>MONTH(B573)</f>
        <v/>
      </c>
      <c r="E573">
        <f>ROUNDUP(MONTH(B573)/3,0)</f>
        <v/>
      </c>
      <c r="F573">
        <f>YEAR(B573)</f>
        <v/>
      </c>
    </row>
    <row r="574">
      <c r="A574">
        <f>INT(B574)</f>
        <v/>
      </c>
      <c r="B574" s="37" t="n">
        <v>46230</v>
      </c>
      <c r="C574">
        <f>TEXT(B574,"mmm")</f>
        <v/>
      </c>
      <c r="D574">
        <f>MONTH(B574)</f>
        <v/>
      </c>
      <c r="E574">
        <f>ROUNDUP(MONTH(B574)/3,0)</f>
        <v/>
      </c>
      <c r="F574">
        <f>YEAR(B574)</f>
        <v/>
      </c>
    </row>
    <row r="575">
      <c r="A575">
        <f>INT(B575)</f>
        <v/>
      </c>
      <c r="B575" s="37" t="n">
        <v>46231</v>
      </c>
      <c r="C575">
        <f>TEXT(B575,"mmm")</f>
        <v/>
      </c>
      <c r="D575">
        <f>MONTH(B575)</f>
        <v/>
      </c>
      <c r="E575">
        <f>ROUNDUP(MONTH(B575)/3,0)</f>
        <v/>
      </c>
      <c r="F575">
        <f>YEAR(B575)</f>
        <v/>
      </c>
    </row>
    <row r="576">
      <c r="A576">
        <f>INT(B576)</f>
        <v/>
      </c>
      <c r="B576" s="37" t="n">
        <v>46232</v>
      </c>
      <c r="C576">
        <f>TEXT(B576,"mmm")</f>
        <v/>
      </c>
      <c r="D576">
        <f>MONTH(B576)</f>
        <v/>
      </c>
      <c r="E576">
        <f>ROUNDUP(MONTH(B576)/3,0)</f>
        <v/>
      </c>
      <c r="F576">
        <f>YEAR(B576)</f>
        <v/>
      </c>
    </row>
    <row r="577">
      <c r="A577">
        <f>INT(B577)</f>
        <v/>
      </c>
      <c r="B577" s="37" t="n">
        <v>46233</v>
      </c>
      <c r="C577">
        <f>TEXT(B577,"mmm")</f>
        <v/>
      </c>
      <c r="D577">
        <f>MONTH(B577)</f>
        <v/>
      </c>
      <c r="E577">
        <f>ROUNDUP(MONTH(B577)/3,0)</f>
        <v/>
      </c>
      <c r="F577">
        <f>YEAR(B577)</f>
        <v/>
      </c>
    </row>
    <row r="578">
      <c r="A578">
        <f>INT(B578)</f>
        <v/>
      </c>
      <c r="B578" s="37" t="n">
        <v>46234</v>
      </c>
      <c r="C578">
        <f>TEXT(B578,"mmm")</f>
        <v/>
      </c>
      <c r="D578">
        <f>MONTH(B578)</f>
        <v/>
      </c>
      <c r="E578">
        <f>ROUNDUP(MONTH(B578)/3,0)</f>
        <v/>
      </c>
      <c r="F578">
        <f>YEAR(B578)</f>
        <v/>
      </c>
    </row>
    <row r="579">
      <c r="A579">
        <f>INT(B579)</f>
        <v/>
      </c>
      <c r="B579" s="37" t="n">
        <v>46235</v>
      </c>
      <c r="C579">
        <f>TEXT(B579,"mmm")</f>
        <v/>
      </c>
      <c r="D579">
        <f>MONTH(B579)</f>
        <v/>
      </c>
      <c r="E579">
        <f>ROUNDUP(MONTH(B579)/3,0)</f>
        <v/>
      </c>
      <c r="F579">
        <f>YEAR(B579)</f>
        <v/>
      </c>
    </row>
    <row r="580">
      <c r="A580">
        <f>INT(B580)</f>
        <v/>
      </c>
      <c r="B580" s="37" t="n">
        <v>46236</v>
      </c>
      <c r="C580">
        <f>TEXT(B580,"mmm")</f>
        <v/>
      </c>
      <c r="D580">
        <f>MONTH(B580)</f>
        <v/>
      </c>
      <c r="E580">
        <f>ROUNDUP(MONTH(B580)/3,0)</f>
        <v/>
      </c>
      <c r="F580">
        <f>YEAR(B580)</f>
        <v/>
      </c>
    </row>
    <row r="581">
      <c r="A581">
        <f>INT(B581)</f>
        <v/>
      </c>
      <c r="B581" s="37" t="n">
        <v>46237</v>
      </c>
      <c r="C581">
        <f>TEXT(B581,"mmm")</f>
        <v/>
      </c>
      <c r="D581">
        <f>MONTH(B581)</f>
        <v/>
      </c>
      <c r="E581">
        <f>ROUNDUP(MONTH(B581)/3,0)</f>
        <v/>
      </c>
      <c r="F581">
        <f>YEAR(B581)</f>
        <v/>
      </c>
    </row>
    <row r="582">
      <c r="A582">
        <f>INT(B582)</f>
        <v/>
      </c>
      <c r="B582" s="37" t="n">
        <v>46238</v>
      </c>
      <c r="C582">
        <f>TEXT(B582,"mmm")</f>
        <v/>
      </c>
      <c r="D582">
        <f>MONTH(B582)</f>
        <v/>
      </c>
      <c r="E582">
        <f>ROUNDUP(MONTH(B582)/3,0)</f>
        <v/>
      </c>
      <c r="F582">
        <f>YEAR(B582)</f>
        <v/>
      </c>
    </row>
    <row r="583">
      <c r="A583">
        <f>INT(B583)</f>
        <v/>
      </c>
      <c r="B583" s="37" t="n">
        <v>46239</v>
      </c>
      <c r="C583">
        <f>TEXT(B583,"mmm")</f>
        <v/>
      </c>
      <c r="D583">
        <f>MONTH(B583)</f>
        <v/>
      </c>
      <c r="E583">
        <f>ROUNDUP(MONTH(B583)/3,0)</f>
        <v/>
      </c>
      <c r="F583">
        <f>YEAR(B583)</f>
        <v/>
      </c>
    </row>
    <row r="584">
      <c r="A584">
        <f>INT(B584)</f>
        <v/>
      </c>
      <c r="B584" s="37" t="n">
        <v>46240</v>
      </c>
      <c r="C584">
        <f>TEXT(B584,"mmm")</f>
        <v/>
      </c>
      <c r="D584">
        <f>MONTH(B584)</f>
        <v/>
      </c>
      <c r="E584">
        <f>ROUNDUP(MONTH(B584)/3,0)</f>
        <v/>
      </c>
      <c r="F584">
        <f>YEAR(B584)</f>
        <v/>
      </c>
    </row>
    <row r="585">
      <c r="A585">
        <f>INT(B585)</f>
        <v/>
      </c>
      <c r="B585" s="37" t="n">
        <v>46241</v>
      </c>
      <c r="C585">
        <f>TEXT(B585,"mmm")</f>
        <v/>
      </c>
      <c r="D585">
        <f>MONTH(B585)</f>
        <v/>
      </c>
      <c r="E585">
        <f>ROUNDUP(MONTH(B585)/3,0)</f>
        <v/>
      </c>
      <c r="F585">
        <f>YEAR(B585)</f>
        <v/>
      </c>
    </row>
    <row r="586">
      <c r="A586">
        <f>INT(B586)</f>
        <v/>
      </c>
      <c r="B586" s="37" t="n">
        <v>46242</v>
      </c>
      <c r="C586">
        <f>TEXT(B586,"mmm")</f>
        <v/>
      </c>
      <c r="D586">
        <f>MONTH(B586)</f>
        <v/>
      </c>
      <c r="E586">
        <f>ROUNDUP(MONTH(B586)/3,0)</f>
        <v/>
      </c>
      <c r="F586">
        <f>YEAR(B586)</f>
        <v/>
      </c>
    </row>
    <row r="587">
      <c r="A587">
        <f>INT(B587)</f>
        <v/>
      </c>
      <c r="B587" s="37" t="n">
        <v>46243</v>
      </c>
      <c r="C587">
        <f>TEXT(B587,"mmm")</f>
        <v/>
      </c>
      <c r="D587">
        <f>MONTH(B587)</f>
        <v/>
      </c>
      <c r="E587">
        <f>ROUNDUP(MONTH(B587)/3,0)</f>
        <v/>
      </c>
      <c r="F587">
        <f>YEAR(B587)</f>
        <v/>
      </c>
    </row>
    <row r="588">
      <c r="A588">
        <f>INT(B588)</f>
        <v/>
      </c>
      <c r="B588" s="37" t="n">
        <v>46244</v>
      </c>
      <c r="C588">
        <f>TEXT(B588,"mmm")</f>
        <v/>
      </c>
      <c r="D588">
        <f>MONTH(B588)</f>
        <v/>
      </c>
      <c r="E588">
        <f>ROUNDUP(MONTH(B588)/3,0)</f>
        <v/>
      </c>
      <c r="F588">
        <f>YEAR(B588)</f>
        <v/>
      </c>
    </row>
    <row r="589">
      <c r="A589">
        <f>INT(B589)</f>
        <v/>
      </c>
      <c r="B589" s="37" t="n">
        <v>46245</v>
      </c>
      <c r="C589">
        <f>TEXT(B589,"mmm")</f>
        <v/>
      </c>
      <c r="D589">
        <f>MONTH(B589)</f>
        <v/>
      </c>
      <c r="E589">
        <f>ROUNDUP(MONTH(B589)/3,0)</f>
        <v/>
      </c>
      <c r="F589">
        <f>YEAR(B589)</f>
        <v/>
      </c>
    </row>
    <row r="590">
      <c r="A590">
        <f>INT(B590)</f>
        <v/>
      </c>
      <c r="B590" s="37" t="n">
        <v>46246</v>
      </c>
      <c r="C590">
        <f>TEXT(B590,"mmm")</f>
        <v/>
      </c>
      <c r="D590">
        <f>MONTH(B590)</f>
        <v/>
      </c>
      <c r="E590">
        <f>ROUNDUP(MONTH(B590)/3,0)</f>
        <v/>
      </c>
      <c r="F590">
        <f>YEAR(B590)</f>
        <v/>
      </c>
    </row>
    <row r="591">
      <c r="A591">
        <f>INT(B591)</f>
        <v/>
      </c>
      <c r="B591" s="37" t="n">
        <v>46247</v>
      </c>
      <c r="C591">
        <f>TEXT(B591,"mmm")</f>
        <v/>
      </c>
      <c r="D591">
        <f>MONTH(B591)</f>
        <v/>
      </c>
      <c r="E591">
        <f>ROUNDUP(MONTH(B591)/3,0)</f>
        <v/>
      </c>
      <c r="F591">
        <f>YEAR(B591)</f>
        <v/>
      </c>
    </row>
    <row r="592">
      <c r="A592">
        <f>INT(B592)</f>
        <v/>
      </c>
      <c r="B592" s="37" t="n">
        <v>46248</v>
      </c>
      <c r="C592">
        <f>TEXT(B592,"mmm")</f>
        <v/>
      </c>
      <c r="D592">
        <f>MONTH(B592)</f>
        <v/>
      </c>
      <c r="E592">
        <f>ROUNDUP(MONTH(B592)/3,0)</f>
        <v/>
      </c>
      <c r="F592">
        <f>YEAR(B592)</f>
        <v/>
      </c>
    </row>
    <row r="593">
      <c r="A593">
        <f>INT(B593)</f>
        <v/>
      </c>
      <c r="B593" s="37" t="n">
        <v>46249</v>
      </c>
      <c r="C593">
        <f>TEXT(B593,"mmm")</f>
        <v/>
      </c>
      <c r="D593">
        <f>MONTH(B593)</f>
        <v/>
      </c>
      <c r="E593">
        <f>ROUNDUP(MONTH(B593)/3,0)</f>
        <v/>
      </c>
      <c r="F593">
        <f>YEAR(B593)</f>
        <v/>
      </c>
    </row>
    <row r="594">
      <c r="A594">
        <f>INT(B594)</f>
        <v/>
      </c>
      <c r="B594" s="37" t="n">
        <v>46250</v>
      </c>
      <c r="C594">
        <f>TEXT(B594,"mmm")</f>
        <v/>
      </c>
      <c r="D594">
        <f>MONTH(B594)</f>
        <v/>
      </c>
      <c r="E594">
        <f>ROUNDUP(MONTH(B594)/3,0)</f>
        <v/>
      </c>
      <c r="F594">
        <f>YEAR(B594)</f>
        <v/>
      </c>
    </row>
    <row r="595">
      <c r="A595">
        <f>INT(B595)</f>
        <v/>
      </c>
      <c r="B595" s="37" t="n">
        <v>46251</v>
      </c>
      <c r="C595">
        <f>TEXT(B595,"mmm")</f>
        <v/>
      </c>
      <c r="D595">
        <f>MONTH(B595)</f>
        <v/>
      </c>
      <c r="E595">
        <f>ROUNDUP(MONTH(B595)/3,0)</f>
        <v/>
      </c>
      <c r="F595">
        <f>YEAR(B595)</f>
        <v/>
      </c>
    </row>
    <row r="596">
      <c r="A596">
        <f>INT(B596)</f>
        <v/>
      </c>
      <c r="B596" s="37" t="n">
        <v>46252</v>
      </c>
      <c r="C596">
        <f>TEXT(B596,"mmm")</f>
        <v/>
      </c>
      <c r="D596">
        <f>MONTH(B596)</f>
        <v/>
      </c>
      <c r="E596">
        <f>ROUNDUP(MONTH(B596)/3,0)</f>
        <v/>
      </c>
      <c r="F596">
        <f>YEAR(B596)</f>
        <v/>
      </c>
    </row>
    <row r="597">
      <c r="A597">
        <f>INT(B597)</f>
        <v/>
      </c>
      <c r="B597" s="37" t="n">
        <v>46253</v>
      </c>
      <c r="C597">
        <f>TEXT(B597,"mmm")</f>
        <v/>
      </c>
      <c r="D597">
        <f>MONTH(B597)</f>
        <v/>
      </c>
      <c r="E597">
        <f>ROUNDUP(MONTH(B597)/3,0)</f>
        <v/>
      </c>
      <c r="F597">
        <f>YEAR(B597)</f>
        <v/>
      </c>
    </row>
    <row r="598">
      <c r="A598">
        <f>INT(B598)</f>
        <v/>
      </c>
      <c r="B598" s="37" t="n">
        <v>46254</v>
      </c>
      <c r="C598">
        <f>TEXT(B598,"mmm")</f>
        <v/>
      </c>
      <c r="D598">
        <f>MONTH(B598)</f>
        <v/>
      </c>
      <c r="E598">
        <f>ROUNDUP(MONTH(B598)/3,0)</f>
        <v/>
      </c>
      <c r="F598">
        <f>YEAR(B598)</f>
        <v/>
      </c>
    </row>
    <row r="599">
      <c r="A599">
        <f>INT(B599)</f>
        <v/>
      </c>
      <c r="B599" s="37" t="n">
        <v>46255</v>
      </c>
      <c r="C599">
        <f>TEXT(B599,"mmm")</f>
        <v/>
      </c>
      <c r="D599">
        <f>MONTH(B599)</f>
        <v/>
      </c>
      <c r="E599">
        <f>ROUNDUP(MONTH(B599)/3,0)</f>
        <v/>
      </c>
      <c r="F599">
        <f>YEAR(B599)</f>
        <v/>
      </c>
    </row>
    <row r="600">
      <c r="A600">
        <f>INT(B600)</f>
        <v/>
      </c>
      <c r="B600" s="37" t="n">
        <v>46256</v>
      </c>
      <c r="C600">
        <f>TEXT(B600,"mmm")</f>
        <v/>
      </c>
      <c r="D600">
        <f>MONTH(B600)</f>
        <v/>
      </c>
      <c r="E600">
        <f>ROUNDUP(MONTH(B600)/3,0)</f>
        <v/>
      </c>
      <c r="F600">
        <f>YEAR(B600)</f>
        <v/>
      </c>
    </row>
    <row r="601">
      <c r="A601">
        <f>INT(B601)</f>
        <v/>
      </c>
      <c r="B601" s="37" t="n">
        <v>46257</v>
      </c>
      <c r="C601">
        <f>TEXT(B601,"mmm")</f>
        <v/>
      </c>
      <c r="D601">
        <f>MONTH(B601)</f>
        <v/>
      </c>
      <c r="E601">
        <f>ROUNDUP(MONTH(B601)/3,0)</f>
        <v/>
      </c>
      <c r="F601">
        <f>YEAR(B601)</f>
        <v/>
      </c>
    </row>
    <row r="602">
      <c r="A602">
        <f>INT(B602)</f>
        <v/>
      </c>
      <c r="B602" s="37" t="n">
        <v>46258</v>
      </c>
      <c r="C602">
        <f>TEXT(B602,"mmm")</f>
        <v/>
      </c>
      <c r="D602">
        <f>MONTH(B602)</f>
        <v/>
      </c>
      <c r="E602">
        <f>ROUNDUP(MONTH(B602)/3,0)</f>
        <v/>
      </c>
      <c r="F602">
        <f>YEAR(B602)</f>
        <v/>
      </c>
    </row>
    <row r="603">
      <c r="A603">
        <f>INT(B603)</f>
        <v/>
      </c>
      <c r="B603" s="37" t="n">
        <v>46259</v>
      </c>
      <c r="C603">
        <f>TEXT(B603,"mmm")</f>
        <v/>
      </c>
      <c r="D603">
        <f>MONTH(B603)</f>
        <v/>
      </c>
      <c r="E603">
        <f>ROUNDUP(MONTH(B603)/3,0)</f>
        <v/>
      </c>
      <c r="F603">
        <f>YEAR(B603)</f>
        <v/>
      </c>
    </row>
    <row r="604">
      <c r="A604">
        <f>INT(B604)</f>
        <v/>
      </c>
      <c r="B604" s="37" t="n">
        <v>46260</v>
      </c>
      <c r="C604">
        <f>TEXT(B604,"mmm")</f>
        <v/>
      </c>
      <c r="D604">
        <f>MONTH(B604)</f>
        <v/>
      </c>
      <c r="E604">
        <f>ROUNDUP(MONTH(B604)/3,0)</f>
        <v/>
      </c>
      <c r="F604">
        <f>YEAR(B604)</f>
        <v/>
      </c>
    </row>
    <row r="605">
      <c r="A605">
        <f>INT(B605)</f>
        <v/>
      </c>
      <c r="B605" s="37" t="n">
        <v>46261</v>
      </c>
      <c r="C605">
        <f>TEXT(B605,"mmm")</f>
        <v/>
      </c>
      <c r="D605">
        <f>MONTH(B605)</f>
        <v/>
      </c>
      <c r="E605">
        <f>ROUNDUP(MONTH(B605)/3,0)</f>
        <v/>
      </c>
      <c r="F605">
        <f>YEAR(B605)</f>
        <v/>
      </c>
    </row>
    <row r="606">
      <c r="A606">
        <f>INT(B606)</f>
        <v/>
      </c>
      <c r="B606" s="37" t="n">
        <v>46262</v>
      </c>
      <c r="C606">
        <f>TEXT(B606,"mmm")</f>
        <v/>
      </c>
      <c r="D606">
        <f>MONTH(B606)</f>
        <v/>
      </c>
      <c r="E606">
        <f>ROUNDUP(MONTH(B606)/3,0)</f>
        <v/>
      </c>
      <c r="F606">
        <f>YEAR(B606)</f>
        <v/>
      </c>
    </row>
    <row r="607">
      <c r="A607">
        <f>INT(B607)</f>
        <v/>
      </c>
      <c r="B607" s="37" t="n">
        <v>46263</v>
      </c>
      <c r="C607">
        <f>TEXT(B607,"mmm")</f>
        <v/>
      </c>
      <c r="D607">
        <f>MONTH(B607)</f>
        <v/>
      </c>
      <c r="E607">
        <f>ROUNDUP(MONTH(B607)/3,0)</f>
        <v/>
      </c>
      <c r="F607">
        <f>YEAR(B607)</f>
        <v/>
      </c>
    </row>
    <row r="608">
      <c r="A608">
        <f>INT(B608)</f>
        <v/>
      </c>
      <c r="B608" s="37" t="n">
        <v>46264</v>
      </c>
      <c r="C608">
        <f>TEXT(B608,"mmm")</f>
        <v/>
      </c>
      <c r="D608">
        <f>MONTH(B608)</f>
        <v/>
      </c>
      <c r="E608">
        <f>ROUNDUP(MONTH(B608)/3,0)</f>
        <v/>
      </c>
      <c r="F608">
        <f>YEAR(B608)</f>
        <v/>
      </c>
    </row>
    <row r="609">
      <c r="A609">
        <f>INT(B609)</f>
        <v/>
      </c>
      <c r="B609" s="37" t="n">
        <v>46265</v>
      </c>
      <c r="C609">
        <f>TEXT(B609,"mmm")</f>
        <v/>
      </c>
      <c r="D609">
        <f>MONTH(B609)</f>
        <v/>
      </c>
      <c r="E609">
        <f>ROUNDUP(MONTH(B609)/3,0)</f>
        <v/>
      </c>
      <c r="F609">
        <f>YEAR(B609)</f>
        <v/>
      </c>
    </row>
    <row r="610">
      <c r="A610">
        <f>INT(B610)</f>
        <v/>
      </c>
      <c r="B610" s="37" t="n">
        <v>46266</v>
      </c>
      <c r="C610">
        <f>TEXT(B610,"mmm")</f>
        <v/>
      </c>
      <c r="D610">
        <f>MONTH(B610)</f>
        <v/>
      </c>
      <c r="E610">
        <f>ROUNDUP(MONTH(B610)/3,0)</f>
        <v/>
      </c>
      <c r="F610">
        <f>YEAR(B610)</f>
        <v/>
      </c>
    </row>
    <row r="611">
      <c r="A611">
        <f>INT(B611)</f>
        <v/>
      </c>
      <c r="B611" s="37" t="n">
        <v>46267</v>
      </c>
      <c r="C611">
        <f>TEXT(B611,"mmm")</f>
        <v/>
      </c>
      <c r="D611">
        <f>MONTH(B611)</f>
        <v/>
      </c>
      <c r="E611">
        <f>ROUNDUP(MONTH(B611)/3,0)</f>
        <v/>
      </c>
      <c r="F611">
        <f>YEAR(B611)</f>
        <v/>
      </c>
    </row>
    <row r="612">
      <c r="A612">
        <f>INT(B612)</f>
        <v/>
      </c>
      <c r="B612" s="37" t="n">
        <v>46268</v>
      </c>
      <c r="C612">
        <f>TEXT(B612,"mmm")</f>
        <v/>
      </c>
      <c r="D612">
        <f>MONTH(B612)</f>
        <v/>
      </c>
      <c r="E612">
        <f>ROUNDUP(MONTH(B612)/3,0)</f>
        <v/>
      </c>
      <c r="F612">
        <f>YEAR(B612)</f>
        <v/>
      </c>
    </row>
    <row r="613">
      <c r="A613">
        <f>INT(B613)</f>
        <v/>
      </c>
      <c r="B613" s="37" t="n">
        <v>46269</v>
      </c>
      <c r="C613">
        <f>TEXT(B613,"mmm")</f>
        <v/>
      </c>
      <c r="D613">
        <f>MONTH(B613)</f>
        <v/>
      </c>
      <c r="E613">
        <f>ROUNDUP(MONTH(B613)/3,0)</f>
        <v/>
      </c>
      <c r="F613">
        <f>YEAR(B613)</f>
        <v/>
      </c>
    </row>
    <row r="614">
      <c r="A614">
        <f>INT(B614)</f>
        <v/>
      </c>
      <c r="B614" s="37" t="n">
        <v>46270</v>
      </c>
      <c r="C614">
        <f>TEXT(B614,"mmm")</f>
        <v/>
      </c>
      <c r="D614">
        <f>MONTH(B614)</f>
        <v/>
      </c>
      <c r="E614">
        <f>ROUNDUP(MONTH(B614)/3,0)</f>
        <v/>
      </c>
      <c r="F614">
        <f>YEAR(B614)</f>
        <v/>
      </c>
    </row>
    <row r="615">
      <c r="A615">
        <f>INT(B615)</f>
        <v/>
      </c>
      <c r="B615" s="37" t="n">
        <v>46271</v>
      </c>
      <c r="C615">
        <f>TEXT(B615,"mmm")</f>
        <v/>
      </c>
      <c r="D615">
        <f>MONTH(B615)</f>
        <v/>
      </c>
      <c r="E615">
        <f>ROUNDUP(MONTH(B615)/3,0)</f>
        <v/>
      </c>
      <c r="F615">
        <f>YEAR(B615)</f>
        <v/>
      </c>
    </row>
    <row r="616">
      <c r="A616">
        <f>INT(B616)</f>
        <v/>
      </c>
      <c r="B616" s="37" t="n">
        <v>46272</v>
      </c>
      <c r="C616">
        <f>TEXT(B616,"mmm")</f>
        <v/>
      </c>
      <c r="D616">
        <f>MONTH(B616)</f>
        <v/>
      </c>
      <c r="E616">
        <f>ROUNDUP(MONTH(B616)/3,0)</f>
        <v/>
      </c>
      <c r="F616">
        <f>YEAR(B616)</f>
        <v/>
      </c>
    </row>
    <row r="617">
      <c r="A617">
        <f>INT(B617)</f>
        <v/>
      </c>
      <c r="B617" s="37" t="n">
        <v>46273</v>
      </c>
      <c r="C617">
        <f>TEXT(B617,"mmm")</f>
        <v/>
      </c>
      <c r="D617">
        <f>MONTH(B617)</f>
        <v/>
      </c>
      <c r="E617">
        <f>ROUNDUP(MONTH(B617)/3,0)</f>
        <v/>
      </c>
      <c r="F617">
        <f>YEAR(B617)</f>
        <v/>
      </c>
    </row>
    <row r="618">
      <c r="A618">
        <f>INT(B618)</f>
        <v/>
      </c>
      <c r="B618" s="37" t="n">
        <v>46274</v>
      </c>
      <c r="C618">
        <f>TEXT(B618,"mmm")</f>
        <v/>
      </c>
      <c r="D618">
        <f>MONTH(B618)</f>
        <v/>
      </c>
      <c r="E618">
        <f>ROUNDUP(MONTH(B618)/3,0)</f>
        <v/>
      </c>
      <c r="F618">
        <f>YEAR(B618)</f>
        <v/>
      </c>
    </row>
    <row r="619">
      <c r="A619">
        <f>INT(B619)</f>
        <v/>
      </c>
      <c r="B619" s="37" t="n">
        <v>46275</v>
      </c>
      <c r="C619">
        <f>TEXT(B619,"mmm")</f>
        <v/>
      </c>
      <c r="D619">
        <f>MONTH(B619)</f>
        <v/>
      </c>
      <c r="E619">
        <f>ROUNDUP(MONTH(B619)/3,0)</f>
        <v/>
      </c>
      <c r="F619">
        <f>YEAR(B619)</f>
        <v/>
      </c>
    </row>
    <row r="620">
      <c r="A620">
        <f>INT(B620)</f>
        <v/>
      </c>
      <c r="B620" s="37" t="n">
        <v>46276</v>
      </c>
      <c r="C620">
        <f>TEXT(B620,"mmm")</f>
        <v/>
      </c>
      <c r="D620">
        <f>MONTH(B620)</f>
        <v/>
      </c>
      <c r="E620">
        <f>ROUNDUP(MONTH(B620)/3,0)</f>
        <v/>
      </c>
      <c r="F620">
        <f>YEAR(B620)</f>
        <v/>
      </c>
    </row>
    <row r="621">
      <c r="A621">
        <f>INT(B621)</f>
        <v/>
      </c>
      <c r="B621" s="37" t="n">
        <v>46277</v>
      </c>
      <c r="C621">
        <f>TEXT(B621,"mmm")</f>
        <v/>
      </c>
      <c r="D621">
        <f>MONTH(B621)</f>
        <v/>
      </c>
      <c r="E621">
        <f>ROUNDUP(MONTH(B621)/3,0)</f>
        <v/>
      </c>
      <c r="F621">
        <f>YEAR(B621)</f>
        <v/>
      </c>
    </row>
    <row r="622">
      <c r="A622">
        <f>INT(B622)</f>
        <v/>
      </c>
      <c r="B622" s="37" t="n">
        <v>46278</v>
      </c>
      <c r="C622">
        <f>TEXT(B622,"mmm")</f>
        <v/>
      </c>
      <c r="D622">
        <f>MONTH(B622)</f>
        <v/>
      </c>
      <c r="E622">
        <f>ROUNDUP(MONTH(B622)/3,0)</f>
        <v/>
      </c>
      <c r="F622">
        <f>YEAR(B622)</f>
        <v/>
      </c>
    </row>
    <row r="623">
      <c r="A623">
        <f>INT(B623)</f>
        <v/>
      </c>
      <c r="B623" s="37" t="n">
        <v>46279</v>
      </c>
      <c r="C623">
        <f>TEXT(B623,"mmm")</f>
        <v/>
      </c>
      <c r="D623">
        <f>MONTH(B623)</f>
        <v/>
      </c>
      <c r="E623">
        <f>ROUNDUP(MONTH(B623)/3,0)</f>
        <v/>
      </c>
      <c r="F623">
        <f>YEAR(B623)</f>
        <v/>
      </c>
    </row>
    <row r="624">
      <c r="A624">
        <f>INT(B624)</f>
        <v/>
      </c>
      <c r="B624" s="37" t="n">
        <v>46280</v>
      </c>
      <c r="C624">
        <f>TEXT(B624,"mmm")</f>
        <v/>
      </c>
      <c r="D624">
        <f>MONTH(B624)</f>
        <v/>
      </c>
      <c r="E624">
        <f>ROUNDUP(MONTH(B624)/3,0)</f>
        <v/>
      </c>
      <c r="F624">
        <f>YEAR(B624)</f>
        <v/>
      </c>
    </row>
    <row r="625">
      <c r="A625">
        <f>INT(B625)</f>
        <v/>
      </c>
      <c r="B625" s="37" t="n">
        <v>46281</v>
      </c>
      <c r="C625">
        <f>TEXT(B625,"mmm")</f>
        <v/>
      </c>
      <c r="D625">
        <f>MONTH(B625)</f>
        <v/>
      </c>
      <c r="E625">
        <f>ROUNDUP(MONTH(B625)/3,0)</f>
        <v/>
      </c>
      <c r="F625">
        <f>YEAR(B625)</f>
        <v/>
      </c>
    </row>
    <row r="626">
      <c r="A626">
        <f>INT(B626)</f>
        <v/>
      </c>
      <c r="B626" s="37" t="n">
        <v>46282</v>
      </c>
      <c r="C626">
        <f>TEXT(B626,"mmm")</f>
        <v/>
      </c>
      <c r="D626">
        <f>MONTH(B626)</f>
        <v/>
      </c>
      <c r="E626">
        <f>ROUNDUP(MONTH(B626)/3,0)</f>
        <v/>
      </c>
      <c r="F626">
        <f>YEAR(B626)</f>
        <v/>
      </c>
    </row>
    <row r="627">
      <c r="A627">
        <f>INT(B627)</f>
        <v/>
      </c>
      <c r="B627" s="37" t="n">
        <v>46283</v>
      </c>
      <c r="C627">
        <f>TEXT(B627,"mmm")</f>
        <v/>
      </c>
      <c r="D627">
        <f>MONTH(B627)</f>
        <v/>
      </c>
      <c r="E627">
        <f>ROUNDUP(MONTH(B627)/3,0)</f>
        <v/>
      </c>
      <c r="F627">
        <f>YEAR(B627)</f>
        <v/>
      </c>
    </row>
    <row r="628">
      <c r="A628">
        <f>INT(B628)</f>
        <v/>
      </c>
      <c r="B628" s="37" t="n">
        <v>46284</v>
      </c>
      <c r="C628">
        <f>TEXT(B628,"mmm")</f>
        <v/>
      </c>
      <c r="D628">
        <f>MONTH(B628)</f>
        <v/>
      </c>
      <c r="E628">
        <f>ROUNDUP(MONTH(B628)/3,0)</f>
        <v/>
      </c>
      <c r="F628">
        <f>YEAR(B628)</f>
        <v/>
      </c>
    </row>
    <row r="629">
      <c r="A629">
        <f>INT(B629)</f>
        <v/>
      </c>
      <c r="B629" s="37" t="n">
        <v>46285</v>
      </c>
      <c r="C629">
        <f>TEXT(B629,"mmm")</f>
        <v/>
      </c>
      <c r="D629">
        <f>MONTH(B629)</f>
        <v/>
      </c>
      <c r="E629">
        <f>ROUNDUP(MONTH(B629)/3,0)</f>
        <v/>
      </c>
      <c r="F629">
        <f>YEAR(B629)</f>
        <v/>
      </c>
    </row>
    <row r="630">
      <c r="A630">
        <f>INT(B630)</f>
        <v/>
      </c>
      <c r="B630" s="37" t="n">
        <v>46286</v>
      </c>
      <c r="C630">
        <f>TEXT(B630,"mmm")</f>
        <v/>
      </c>
      <c r="D630">
        <f>MONTH(B630)</f>
        <v/>
      </c>
      <c r="E630">
        <f>ROUNDUP(MONTH(B630)/3,0)</f>
        <v/>
      </c>
      <c r="F630">
        <f>YEAR(B630)</f>
        <v/>
      </c>
    </row>
    <row r="631">
      <c r="A631">
        <f>INT(B631)</f>
        <v/>
      </c>
      <c r="B631" s="37" t="n">
        <v>46287</v>
      </c>
      <c r="C631">
        <f>TEXT(B631,"mmm")</f>
        <v/>
      </c>
      <c r="D631">
        <f>MONTH(B631)</f>
        <v/>
      </c>
      <c r="E631">
        <f>ROUNDUP(MONTH(B631)/3,0)</f>
        <v/>
      </c>
      <c r="F631">
        <f>YEAR(B631)</f>
        <v/>
      </c>
    </row>
    <row r="632">
      <c r="A632">
        <f>INT(B632)</f>
        <v/>
      </c>
      <c r="B632" s="37" t="n">
        <v>46288</v>
      </c>
      <c r="C632">
        <f>TEXT(B632,"mmm")</f>
        <v/>
      </c>
      <c r="D632">
        <f>MONTH(B632)</f>
        <v/>
      </c>
      <c r="E632">
        <f>ROUNDUP(MONTH(B632)/3,0)</f>
        <v/>
      </c>
      <c r="F632">
        <f>YEAR(B632)</f>
        <v/>
      </c>
    </row>
    <row r="633">
      <c r="A633">
        <f>INT(B633)</f>
        <v/>
      </c>
      <c r="B633" s="37" t="n">
        <v>46289</v>
      </c>
      <c r="C633">
        <f>TEXT(B633,"mmm")</f>
        <v/>
      </c>
      <c r="D633">
        <f>MONTH(B633)</f>
        <v/>
      </c>
      <c r="E633">
        <f>ROUNDUP(MONTH(B633)/3,0)</f>
        <v/>
      </c>
      <c r="F633">
        <f>YEAR(B633)</f>
        <v/>
      </c>
    </row>
    <row r="634">
      <c r="A634">
        <f>INT(B634)</f>
        <v/>
      </c>
      <c r="B634" s="37" t="n">
        <v>46290</v>
      </c>
      <c r="C634">
        <f>TEXT(B634,"mmm")</f>
        <v/>
      </c>
      <c r="D634">
        <f>MONTH(B634)</f>
        <v/>
      </c>
      <c r="E634">
        <f>ROUNDUP(MONTH(B634)/3,0)</f>
        <v/>
      </c>
      <c r="F634">
        <f>YEAR(B634)</f>
        <v/>
      </c>
    </row>
    <row r="635">
      <c r="A635">
        <f>INT(B635)</f>
        <v/>
      </c>
      <c r="B635" s="37" t="n">
        <v>46291</v>
      </c>
      <c r="C635">
        <f>TEXT(B635,"mmm")</f>
        <v/>
      </c>
      <c r="D635">
        <f>MONTH(B635)</f>
        <v/>
      </c>
      <c r="E635">
        <f>ROUNDUP(MONTH(B635)/3,0)</f>
        <v/>
      </c>
      <c r="F635">
        <f>YEAR(B635)</f>
        <v/>
      </c>
    </row>
    <row r="636">
      <c r="A636">
        <f>INT(B636)</f>
        <v/>
      </c>
      <c r="B636" s="37" t="n">
        <v>46292</v>
      </c>
      <c r="C636">
        <f>TEXT(B636,"mmm")</f>
        <v/>
      </c>
      <c r="D636">
        <f>MONTH(B636)</f>
        <v/>
      </c>
      <c r="E636">
        <f>ROUNDUP(MONTH(B636)/3,0)</f>
        <v/>
      </c>
      <c r="F636">
        <f>YEAR(B636)</f>
        <v/>
      </c>
    </row>
    <row r="637">
      <c r="A637">
        <f>INT(B637)</f>
        <v/>
      </c>
      <c r="B637" s="37" t="n">
        <v>46293</v>
      </c>
      <c r="C637">
        <f>TEXT(B637,"mmm")</f>
        <v/>
      </c>
      <c r="D637">
        <f>MONTH(B637)</f>
        <v/>
      </c>
      <c r="E637">
        <f>ROUNDUP(MONTH(B637)/3,0)</f>
        <v/>
      </c>
      <c r="F637">
        <f>YEAR(B637)</f>
        <v/>
      </c>
    </row>
    <row r="638">
      <c r="A638">
        <f>INT(B638)</f>
        <v/>
      </c>
      <c r="B638" s="37" t="n">
        <v>46294</v>
      </c>
      <c r="C638">
        <f>TEXT(B638,"mmm")</f>
        <v/>
      </c>
      <c r="D638">
        <f>MONTH(B638)</f>
        <v/>
      </c>
      <c r="E638">
        <f>ROUNDUP(MONTH(B638)/3,0)</f>
        <v/>
      </c>
      <c r="F638">
        <f>YEAR(B638)</f>
        <v/>
      </c>
    </row>
    <row r="639">
      <c r="A639">
        <f>INT(B639)</f>
        <v/>
      </c>
      <c r="B639" s="37" t="n">
        <v>46295</v>
      </c>
      <c r="C639">
        <f>TEXT(B639,"mmm")</f>
        <v/>
      </c>
      <c r="D639">
        <f>MONTH(B639)</f>
        <v/>
      </c>
      <c r="E639">
        <f>ROUNDUP(MONTH(B639)/3,0)</f>
        <v/>
      </c>
      <c r="F639">
        <f>YEAR(B639)</f>
        <v/>
      </c>
    </row>
    <row r="640">
      <c r="A640">
        <f>INT(B640)</f>
        <v/>
      </c>
      <c r="B640" s="37" t="n">
        <v>46296</v>
      </c>
      <c r="C640">
        <f>TEXT(B640,"mmm")</f>
        <v/>
      </c>
      <c r="D640">
        <f>MONTH(B640)</f>
        <v/>
      </c>
      <c r="E640">
        <f>ROUNDUP(MONTH(B640)/3,0)</f>
        <v/>
      </c>
      <c r="F640">
        <f>YEAR(B640)</f>
        <v/>
      </c>
    </row>
    <row r="641">
      <c r="A641">
        <f>INT(B641)</f>
        <v/>
      </c>
      <c r="B641" s="37" t="n">
        <v>46297</v>
      </c>
      <c r="C641">
        <f>TEXT(B641,"mmm")</f>
        <v/>
      </c>
      <c r="D641">
        <f>MONTH(B641)</f>
        <v/>
      </c>
      <c r="E641">
        <f>ROUNDUP(MONTH(B641)/3,0)</f>
        <v/>
      </c>
      <c r="F641">
        <f>YEAR(B641)</f>
        <v/>
      </c>
    </row>
    <row r="642">
      <c r="A642">
        <f>INT(B642)</f>
        <v/>
      </c>
      <c r="B642" s="37" t="n">
        <v>46298</v>
      </c>
      <c r="C642">
        <f>TEXT(B642,"mmm")</f>
        <v/>
      </c>
      <c r="D642">
        <f>MONTH(B642)</f>
        <v/>
      </c>
      <c r="E642">
        <f>ROUNDUP(MONTH(B642)/3,0)</f>
        <v/>
      </c>
      <c r="F642">
        <f>YEAR(B642)</f>
        <v/>
      </c>
    </row>
    <row r="643">
      <c r="A643">
        <f>INT(B643)</f>
        <v/>
      </c>
      <c r="B643" s="37" t="n">
        <v>46299</v>
      </c>
      <c r="C643">
        <f>TEXT(B643,"mmm")</f>
        <v/>
      </c>
      <c r="D643">
        <f>MONTH(B643)</f>
        <v/>
      </c>
      <c r="E643">
        <f>ROUNDUP(MONTH(B643)/3,0)</f>
        <v/>
      </c>
      <c r="F643">
        <f>YEAR(B643)</f>
        <v/>
      </c>
    </row>
    <row r="644">
      <c r="A644">
        <f>INT(B644)</f>
        <v/>
      </c>
      <c r="B644" s="37" t="n">
        <v>46300</v>
      </c>
      <c r="C644">
        <f>TEXT(B644,"mmm")</f>
        <v/>
      </c>
      <c r="D644">
        <f>MONTH(B644)</f>
        <v/>
      </c>
      <c r="E644">
        <f>ROUNDUP(MONTH(B644)/3,0)</f>
        <v/>
      </c>
      <c r="F644">
        <f>YEAR(B644)</f>
        <v/>
      </c>
    </row>
    <row r="645">
      <c r="A645">
        <f>INT(B645)</f>
        <v/>
      </c>
      <c r="B645" s="37" t="n">
        <v>46301</v>
      </c>
      <c r="C645">
        <f>TEXT(B645,"mmm")</f>
        <v/>
      </c>
      <c r="D645">
        <f>MONTH(B645)</f>
        <v/>
      </c>
      <c r="E645">
        <f>ROUNDUP(MONTH(B645)/3,0)</f>
        <v/>
      </c>
      <c r="F645">
        <f>YEAR(B645)</f>
        <v/>
      </c>
    </row>
    <row r="646">
      <c r="A646">
        <f>INT(B646)</f>
        <v/>
      </c>
      <c r="B646" s="37" t="n">
        <v>46302</v>
      </c>
      <c r="C646">
        <f>TEXT(B646,"mmm")</f>
        <v/>
      </c>
      <c r="D646">
        <f>MONTH(B646)</f>
        <v/>
      </c>
      <c r="E646">
        <f>ROUNDUP(MONTH(B646)/3,0)</f>
        <v/>
      </c>
      <c r="F646">
        <f>YEAR(B646)</f>
        <v/>
      </c>
    </row>
    <row r="647">
      <c r="A647">
        <f>INT(B647)</f>
        <v/>
      </c>
      <c r="B647" s="37" t="n">
        <v>46303</v>
      </c>
      <c r="C647">
        <f>TEXT(B647,"mmm")</f>
        <v/>
      </c>
      <c r="D647">
        <f>MONTH(B647)</f>
        <v/>
      </c>
      <c r="E647">
        <f>ROUNDUP(MONTH(B647)/3,0)</f>
        <v/>
      </c>
      <c r="F647">
        <f>YEAR(B647)</f>
        <v/>
      </c>
    </row>
    <row r="648">
      <c r="A648">
        <f>INT(B648)</f>
        <v/>
      </c>
      <c r="B648" s="37" t="n">
        <v>46304</v>
      </c>
      <c r="C648">
        <f>TEXT(B648,"mmm")</f>
        <v/>
      </c>
      <c r="D648">
        <f>MONTH(B648)</f>
        <v/>
      </c>
      <c r="E648">
        <f>ROUNDUP(MONTH(B648)/3,0)</f>
        <v/>
      </c>
      <c r="F648">
        <f>YEAR(B648)</f>
        <v/>
      </c>
    </row>
    <row r="649">
      <c r="A649">
        <f>INT(B649)</f>
        <v/>
      </c>
      <c r="B649" s="37" t="n">
        <v>46305</v>
      </c>
      <c r="C649">
        <f>TEXT(B649,"mmm")</f>
        <v/>
      </c>
      <c r="D649">
        <f>MONTH(B649)</f>
        <v/>
      </c>
      <c r="E649">
        <f>ROUNDUP(MONTH(B649)/3,0)</f>
        <v/>
      </c>
      <c r="F649">
        <f>YEAR(B649)</f>
        <v/>
      </c>
    </row>
    <row r="650">
      <c r="A650">
        <f>INT(B650)</f>
        <v/>
      </c>
      <c r="B650" s="37" t="n">
        <v>46306</v>
      </c>
      <c r="C650">
        <f>TEXT(B650,"mmm")</f>
        <v/>
      </c>
      <c r="D650">
        <f>MONTH(B650)</f>
        <v/>
      </c>
      <c r="E650">
        <f>ROUNDUP(MONTH(B650)/3,0)</f>
        <v/>
      </c>
      <c r="F650">
        <f>YEAR(B650)</f>
        <v/>
      </c>
    </row>
    <row r="651">
      <c r="A651">
        <f>INT(B651)</f>
        <v/>
      </c>
      <c r="B651" s="37" t="n">
        <v>46307</v>
      </c>
      <c r="C651">
        <f>TEXT(B651,"mmm")</f>
        <v/>
      </c>
      <c r="D651">
        <f>MONTH(B651)</f>
        <v/>
      </c>
      <c r="E651">
        <f>ROUNDUP(MONTH(B651)/3,0)</f>
        <v/>
      </c>
      <c r="F651">
        <f>YEAR(B651)</f>
        <v/>
      </c>
    </row>
    <row r="652">
      <c r="A652">
        <f>INT(B652)</f>
        <v/>
      </c>
      <c r="B652" s="37" t="n">
        <v>46308</v>
      </c>
      <c r="C652">
        <f>TEXT(B652,"mmm")</f>
        <v/>
      </c>
      <c r="D652">
        <f>MONTH(B652)</f>
        <v/>
      </c>
      <c r="E652">
        <f>ROUNDUP(MONTH(B652)/3,0)</f>
        <v/>
      </c>
      <c r="F652">
        <f>YEAR(B652)</f>
        <v/>
      </c>
    </row>
    <row r="653">
      <c r="A653">
        <f>INT(B653)</f>
        <v/>
      </c>
      <c r="B653" s="37" t="n">
        <v>46309</v>
      </c>
      <c r="C653">
        <f>TEXT(B653,"mmm")</f>
        <v/>
      </c>
      <c r="D653">
        <f>MONTH(B653)</f>
        <v/>
      </c>
      <c r="E653">
        <f>ROUNDUP(MONTH(B653)/3,0)</f>
        <v/>
      </c>
      <c r="F653">
        <f>YEAR(B653)</f>
        <v/>
      </c>
    </row>
    <row r="654">
      <c r="A654">
        <f>INT(B654)</f>
        <v/>
      </c>
      <c r="B654" s="37" t="n">
        <v>46310</v>
      </c>
      <c r="C654">
        <f>TEXT(B654,"mmm")</f>
        <v/>
      </c>
      <c r="D654">
        <f>MONTH(B654)</f>
        <v/>
      </c>
      <c r="E654">
        <f>ROUNDUP(MONTH(B654)/3,0)</f>
        <v/>
      </c>
      <c r="F654">
        <f>YEAR(B654)</f>
        <v/>
      </c>
    </row>
    <row r="655">
      <c r="A655">
        <f>INT(B655)</f>
        <v/>
      </c>
      <c r="B655" s="37" t="n">
        <v>46311</v>
      </c>
      <c r="C655">
        <f>TEXT(B655,"mmm")</f>
        <v/>
      </c>
      <c r="D655">
        <f>MONTH(B655)</f>
        <v/>
      </c>
      <c r="E655">
        <f>ROUNDUP(MONTH(B655)/3,0)</f>
        <v/>
      </c>
      <c r="F655">
        <f>YEAR(B655)</f>
        <v/>
      </c>
    </row>
    <row r="656">
      <c r="A656">
        <f>INT(B656)</f>
        <v/>
      </c>
      <c r="B656" s="37" t="n">
        <v>46312</v>
      </c>
      <c r="C656">
        <f>TEXT(B656,"mmm")</f>
        <v/>
      </c>
      <c r="D656">
        <f>MONTH(B656)</f>
        <v/>
      </c>
      <c r="E656">
        <f>ROUNDUP(MONTH(B656)/3,0)</f>
        <v/>
      </c>
      <c r="F656">
        <f>YEAR(B656)</f>
        <v/>
      </c>
    </row>
    <row r="657">
      <c r="A657">
        <f>INT(B657)</f>
        <v/>
      </c>
      <c r="B657" s="37" t="n">
        <v>46313</v>
      </c>
      <c r="C657">
        <f>TEXT(B657,"mmm")</f>
        <v/>
      </c>
      <c r="D657">
        <f>MONTH(B657)</f>
        <v/>
      </c>
      <c r="E657">
        <f>ROUNDUP(MONTH(B657)/3,0)</f>
        <v/>
      </c>
      <c r="F657">
        <f>YEAR(B657)</f>
        <v/>
      </c>
    </row>
    <row r="658">
      <c r="A658">
        <f>INT(B658)</f>
        <v/>
      </c>
      <c r="B658" s="37" t="n">
        <v>46314</v>
      </c>
      <c r="C658">
        <f>TEXT(B658,"mmm")</f>
        <v/>
      </c>
      <c r="D658">
        <f>MONTH(B658)</f>
        <v/>
      </c>
      <c r="E658">
        <f>ROUNDUP(MONTH(B658)/3,0)</f>
        <v/>
      </c>
      <c r="F658">
        <f>YEAR(B658)</f>
        <v/>
      </c>
    </row>
    <row r="659">
      <c r="A659">
        <f>INT(B659)</f>
        <v/>
      </c>
      <c r="B659" s="37" t="n">
        <v>46315</v>
      </c>
      <c r="C659">
        <f>TEXT(B659,"mmm")</f>
        <v/>
      </c>
      <c r="D659">
        <f>MONTH(B659)</f>
        <v/>
      </c>
      <c r="E659">
        <f>ROUNDUP(MONTH(B659)/3,0)</f>
        <v/>
      </c>
      <c r="F659">
        <f>YEAR(B659)</f>
        <v/>
      </c>
    </row>
    <row r="660">
      <c r="A660">
        <f>INT(B660)</f>
        <v/>
      </c>
      <c r="B660" s="37" t="n">
        <v>46316</v>
      </c>
      <c r="C660">
        <f>TEXT(B660,"mmm")</f>
        <v/>
      </c>
      <c r="D660">
        <f>MONTH(B660)</f>
        <v/>
      </c>
      <c r="E660">
        <f>ROUNDUP(MONTH(B660)/3,0)</f>
        <v/>
      </c>
      <c r="F660">
        <f>YEAR(B660)</f>
        <v/>
      </c>
    </row>
    <row r="661">
      <c r="A661">
        <f>INT(B661)</f>
        <v/>
      </c>
      <c r="B661" s="37" t="n">
        <v>46317</v>
      </c>
      <c r="C661">
        <f>TEXT(B661,"mmm")</f>
        <v/>
      </c>
      <c r="D661">
        <f>MONTH(B661)</f>
        <v/>
      </c>
      <c r="E661">
        <f>ROUNDUP(MONTH(B661)/3,0)</f>
        <v/>
      </c>
      <c r="F661">
        <f>YEAR(B661)</f>
        <v/>
      </c>
    </row>
    <row r="662">
      <c r="A662">
        <f>INT(B662)</f>
        <v/>
      </c>
      <c r="B662" s="37" t="n">
        <v>46318</v>
      </c>
      <c r="C662">
        <f>TEXT(B662,"mmm")</f>
        <v/>
      </c>
      <c r="D662">
        <f>MONTH(B662)</f>
        <v/>
      </c>
      <c r="E662">
        <f>ROUNDUP(MONTH(B662)/3,0)</f>
        <v/>
      </c>
      <c r="F662">
        <f>YEAR(B662)</f>
        <v/>
      </c>
    </row>
    <row r="663">
      <c r="A663">
        <f>INT(B663)</f>
        <v/>
      </c>
      <c r="B663" s="37" t="n">
        <v>46319</v>
      </c>
      <c r="C663">
        <f>TEXT(B663,"mmm")</f>
        <v/>
      </c>
      <c r="D663">
        <f>MONTH(B663)</f>
        <v/>
      </c>
      <c r="E663">
        <f>ROUNDUP(MONTH(B663)/3,0)</f>
        <v/>
      </c>
      <c r="F663">
        <f>YEAR(B663)</f>
        <v/>
      </c>
    </row>
    <row r="664">
      <c r="A664">
        <f>INT(B664)</f>
        <v/>
      </c>
      <c r="B664" s="37" t="n">
        <v>46320</v>
      </c>
      <c r="C664">
        <f>TEXT(B664,"mmm")</f>
        <v/>
      </c>
      <c r="D664">
        <f>MONTH(B664)</f>
        <v/>
      </c>
      <c r="E664">
        <f>ROUNDUP(MONTH(B664)/3,0)</f>
        <v/>
      </c>
      <c r="F664">
        <f>YEAR(B664)</f>
        <v/>
      </c>
    </row>
    <row r="665">
      <c r="A665">
        <f>INT(B665)</f>
        <v/>
      </c>
      <c r="B665" s="37" t="n">
        <v>46321</v>
      </c>
      <c r="C665">
        <f>TEXT(B665,"mmm")</f>
        <v/>
      </c>
      <c r="D665">
        <f>MONTH(B665)</f>
        <v/>
      </c>
      <c r="E665">
        <f>ROUNDUP(MONTH(B665)/3,0)</f>
        <v/>
      </c>
      <c r="F665">
        <f>YEAR(B665)</f>
        <v/>
      </c>
    </row>
    <row r="666">
      <c r="A666">
        <f>INT(B666)</f>
        <v/>
      </c>
      <c r="B666" s="37" t="n">
        <v>46322</v>
      </c>
      <c r="C666">
        <f>TEXT(B666,"mmm")</f>
        <v/>
      </c>
      <c r="D666">
        <f>MONTH(B666)</f>
        <v/>
      </c>
      <c r="E666">
        <f>ROUNDUP(MONTH(B666)/3,0)</f>
        <v/>
      </c>
      <c r="F666">
        <f>YEAR(B666)</f>
        <v/>
      </c>
    </row>
    <row r="667">
      <c r="A667">
        <f>INT(B667)</f>
        <v/>
      </c>
      <c r="B667" s="37" t="n">
        <v>46323</v>
      </c>
      <c r="C667">
        <f>TEXT(B667,"mmm")</f>
        <v/>
      </c>
      <c r="D667">
        <f>MONTH(B667)</f>
        <v/>
      </c>
      <c r="E667">
        <f>ROUNDUP(MONTH(B667)/3,0)</f>
        <v/>
      </c>
      <c r="F667">
        <f>YEAR(B667)</f>
        <v/>
      </c>
    </row>
    <row r="668">
      <c r="A668">
        <f>INT(B668)</f>
        <v/>
      </c>
      <c r="B668" s="37" t="n">
        <v>46324</v>
      </c>
      <c r="C668">
        <f>TEXT(B668,"mmm")</f>
        <v/>
      </c>
      <c r="D668">
        <f>MONTH(B668)</f>
        <v/>
      </c>
      <c r="E668">
        <f>ROUNDUP(MONTH(B668)/3,0)</f>
        <v/>
      </c>
      <c r="F668">
        <f>YEAR(B668)</f>
        <v/>
      </c>
    </row>
    <row r="669">
      <c r="A669">
        <f>INT(B669)</f>
        <v/>
      </c>
      <c r="B669" s="37" t="n">
        <v>46325</v>
      </c>
      <c r="C669">
        <f>TEXT(B669,"mmm")</f>
        <v/>
      </c>
      <c r="D669">
        <f>MONTH(B669)</f>
        <v/>
      </c>
      <c r="E669">
        <f>ROUNDUP(MONTH(B669)/3,0)</f>
        <v/>
      </c>
      <c r="F669">
        <f>YEAR(B669)</f>
        <v/>
      </c>
    </row>
    <row r="670">
      <c r="A670">
        <f>INT(B670)</f>
        <v/>
      </c>
      <c r="B670" s="37" t="n">
        <v>46326</v>
      </c>
      <c r="C670">
        <f>TEXT(B670,"mmm")</f>
        <v/>
      </c>
      <c r="D670">
        <f>MONTH(B670)</f>
        <v/>
      </c>
      <c r="E670">
        <f>ROUNDUP(MONTH(B670)/3,0)</f>
        <v/>
      </c>
      <c r="F670">
        <f>YEAR(B670)</f>
        <v/>
      </c>
    </row>
    <row r="671">
      <c r="A671">
        <f>INT(B671)</f>
        <v/>
      </c>
      <c r="B671" s="37" t="n">
        <v>46327</v>
      </c>
      <c r="C671">
        <f>TEXT(B671,"mmm")</f>
        <v/>
      </c>
      <c r="D671">
        <f>MONTH(B671)</f>
        <v/>
      </c>
      <c r="E671">
        <f>ROUNDUP(MONTH(B671)/3,0)</f>
        <v/>
      </c>
      <c r="F671">
        <f>YEAR(B671)</f>
        <v/>
      </c>
    </row>
    <row r="672">
      <c r="A672">
        <f>INT(B672)</f>
        <v/>
      </c>
      <c r="B672" s="37" t="n">
        <v>46328</v>
      </c>
      <c r="C672">
        <f>TEXT(B672,"mmm")</f>
        <v/>
      </c>
      <c r="D672">
        <f>MONTH(B672)</f>
        <v/>
      </c>
      <c r="E672">
        <f>ROUNDUP(MONTH(B672)/3,0)</f>
        <v/>
      </c>
      <c r="F672">
        <f>YEAR(B672)</f>
        <v/>
      </c>
    </row>
    <row r="673">
      <c r="A673">
        <f>INT(B673)</f>
        <v/>
      </c>
      <c r="B673" s="37" t="n">
        <v>46329</v>
      </c>
      <c r="C673">
        <f>TEXT(B673,"mmm")</f>
        <v/>
      </c>
      <c r="D673">
        <f>MONTH(B673)</f>
        <v/>
      </c>
      <c r="E673">
        <f>ROUNDUP(MONTH(B673)/3,0)</f>
        <v/>
      </c>
      <c r="F673">
        <f>YEAR(B673)</f>
        <v/>
      </c>
    </row>
    <row r="674">
      <c r="A674">
        <f>INT(B674)</f>
        <v/>
      </c>
      <c r="B674" s="37" t="n">
        <v>46330</v>
      </c>
      <c r="C674">
        <f>TEXT(B674,"mmm")</f>
        <v/>
      </c>
      <c r="D674">
        <f>MONTH(B674)</f>
        <v/>
      </c>
      <c r="E674">
        <f>ROUNDUP(MONTH(B674)/3,0)</f>
        <v/>
      </c>
      <c r="F674">
        <f>YEAR(B674)</f>
        <v/>
      </c>
    </row>
    <row r="675">
      <c r="A675">
        <f>INT(B675)</f>
        <v/>
      </c>
      <c r="B675" s="37" t="n">
        <v>46331</v>
      </c>
      <c r="C675">
        <f>TEXT(B675,"mmm")</f>
        <v/>
      </c>
      <c r="D675">
        <f>MONTH(B675)</f>
        <v/>
      </c>
      <c r="E675">
        <f>ROUNDUP(MONTH(B675)/3,0)</f>
        <v/>
      </c>
      <c r="F675">
        <f>YEAR(B675)</f>
        <v/>
      </c>
    </row>
    <row r="676">
      <c r="A676">
        <f>INT(B676)</f>
        <v/>
      </c>
      <c r="B676" s="37" t="n">
        <v>46332</v>
      </c>
      <c r="C676">
        <f>TEXT(B676,"mmm")</f>
        <v/>
      </c>
      <c r="D676">
        <f>MONTH(B676)</f>
        <v/>
      </c>
      <c r="E676">
        <f>ROUNDUP(MONTH(B676)/3,0)</f>
        <v/>
      </c>
      <c r="F676">
        <f>YEAR(B676)</f>
        <v/>
      </c>
    </row>
    <row r="677">
      <c r="A677">
        <f>INT(B677)</f>
        <v/>
      </c>
      <c r="B677" s="37" t="n">
        <v>46333</v>
      </c>
      <c r="C677">
        <f>TEXT(B677,"mmm")</f>
        <v/>
      </c>
      <c r="D677">
        <f>MONTH(B677)</f>
        <v/>
      </c>
      <c r="E677">
        <f>ROUNDUP(MONTH(B677)/3,0)</f>
        <v/>
      </c>
      <c r="F677">
        <f>YEAR(B677)</f>
        <v/>
      </c>
    </row>
    <row r="678">
      <c r="A678">
        <f>INT(B678)</f>
        <v/>
      </c>
      <c r="B678" s="37" t="n">
        <v>46334</v>
      </c>
      <c r="C678">
        <f>TEXT(B678,"mmm")</f>
        <v/>
      </c>
      <c r="D678">
        <f>MONTH(B678)</f>
        <v/>
      </c>
      <c r="E678">
        <f>ROUNDUP(MONTH(B678)/3,0)</f>
        <v/>
      </c>
      <c r="F678">
        <f>YEAR(B678)</f>
        <v/>
      </c>
    </row>
    <row r="679">
      <c r="A679">
        <f>INT(B679)</f>
        <v/>
      </c>
      <c r="B679" s="37" t="n">
        <v>46335</v>
      </c>
      <c r="C679">
        <f>TEXT(B679,"mmm")</f>
        <v/>
      </c>
      <c r="D679">
        <f>MONTH(B679)</f>
        <v/>
      </c>
      <c r="E679">
        <f>ROUNDUP(MONTH(B679)/3,0)</f>
        <v/>
      </c>
      <c r="F679">
        <f>YEAR(B679)</f>
        <v/>
      </c>
    </row>
    <row r="680">
      <c r="A680">
        <f>INT(B680)</f>
        <v/>
      </c>
      <c r="B680" s="37" t="n">
        <v>46336</v>
      </c>
      <c r="C680">
        <f>TEXT(B680,"mmm")</f>
        <v/>
      </c>
      <c r="D680">
        <f>MONTH(B680)</f>
        <v/>
      </c>
      <c r="E680">
        <f>ROUNDUP(MONTH(B680)/3,0)</f>
        <v/>
      </c>
      <c r="F680">
        <f>YEAR(B680)</f>
        <v/>
      </c>
    </row>
    <row r="681">
      <c r="A681">
        <f>INT(B681)</f>
        <v/>
      </c>
      <c r="B681" s="37" t="n">
        <v>46337</v>
      </c>
      <c r="C681">
        <f>TEXT(B681,"mmm")</f>
        <v/>
      </c>
      <c r="D681">
        <f>MONTH(B681)</f>
        <v/>
      </c>
      <c r="E681">
        <f>ROUNDUP(MONTH(B681)/3,0)</f>
        <v/>
      </c>
      <c r="F681">
        <f>YEAR(B681)</f>
        <v/>
      </c>
    </row>
    <row r="682">
      <c r="A682">
        <f>INT(B682)</f>
        <v/>
      </c>
      <c r="B682" s="37" t="n">
        <v>46338</v>
      </c>
      <c r="C682">
        <f>TEXT(B682,"mmm")</f>
        <v/>
      </c>
      <c r="D682">
        <f>MONTH(B682)</f>
        <v/>
      </c>
      <c r="E682">
        <f>ROUNDUP(MONTH(B682)/3,0)</f>
        <v/>
      </c>
      <c r="F682">
        <f>YEAR(B682)</f>
        <v/>
      </c>
    </row>
    <row r="683">
      <c r="A683">
        <f>INT(B683)</f>
        <v/>
      </c>
      <c r="B683" s="37" t="n">
        <v>46339</v>
      </c>
      <c r="C683">
        <f>TEXT(B683,"mmm")</f>
        <v/>
      </c>
      <c r="D683">
        <f>MONTH(B683)</f>
        <v/>
      </c>
      <c r="E683">
        <f>ROUNDUP(MONTH(B683)/3,0)</f>
        <v/>
      </c>
      <c r="F683">
        <f>YEAR(B683)</f>
        <v/>
      </c>
    </row>
    <row r="684">
      <c r="A684">
        <f>INT(B684)</f>
        <v/>
      </c>
      <c r="B684" s="37" t="n">
        <v>46340</v>
      </c>
      <c r="C684">
        <f>TEXT(B684,"mmm")</f>
        <v/>
      </c>
      <c r="D684">
        <f>MONTH(B684)</f>
        <v/>
      </c>
      <c r="E684">
        <f>ROUNDUP(MONTH(B684)/3,0)</f>
        <v/>
      </c>
      <c r="F684">
        <f>YEAR(B684)</f>
        <v/>
      </c>
    </row>
    <row r="685">
      <c r="A685">
        <f>INT(B685)</f>
        <v/>
      </c>
      <c r="B685" s="37" t="n">
        <v>46341</v>
      </c>
      <c r="C685">
        <f>TEXT(B685,"mmm")</f>
        <v/>
      </c>
      <c r="D685">
        <f>MONTH(B685)</f>
        <v/>
      </c>
      <c r="E685">
        <f>ROUNDUP(MONTH(B685)/3,0)</f>
        <v/>
      </c>
      <c r="F685">
        <f>YEAR(B685)</f>
        <v/>
      </c>
    </row>
    <row r="686">
      <c r="A686">
        <f>INT(B686)</f>
        <v/>
      </c>
      <c r="B686" s="37" t="n">
        <v>46342</v>
      </c>
      <c r="C686">
        <f>TEXT(B686,"mmm")</f>
        <v/>
      </c>
      <c r="D686">
        <f>MONTH(B686)</f>
        <v/>
      </c>
      <c r="E686">
        <f>ROUNDUP(MONTH(B686)/3,0)</f>
        <v/>
      </c>
      <c r="F686">
        <f>YEAR(B686)</f>
        <v/>
      </c>
    </row>
    <row r="687">
      <c r="A687">
        <f>INT(B687)</f>
        <v/>
      </c>
      <c r="B687" s="37" t="n">
        <v>46343</v>
      </c>
      <c r="C687">
        <f>TEXT(B687,"mmm")</f>
        <v/>
      </c>
      <c r="D687">
        <f>MONTH(B687)</f>
        <v/>
      </c>
      <c r="E687">
        <f>ROUNDUP(MONTH(B687)/3,0)</f>
        <v/>
      </c>
      <c r="F687">
        <f>YEAR(B687)</f>
        <v/>
      </c>
    </row>
    <row r="688">
      <c r="A688">
        <f>INT(B688)</f>
        <v/>
      </c>
      <c r="B688" s="37" t="n">
        <v>46344</v>
      </c>
      <c r="C688">
        <f>TEXT(B688,"mmm")</f>
        <v/>
      </c>
      <c r="D688">
        <f>MONTH(B688)</f>
        <v/>
      </c>
      <c r="E688">
        <f>ROUNDUP(MONTH(B688)/3,0)</f>
        <v/>
      </c>
      <c r="F688">
        <f>YEAR(B688)</f>
        <v/>
      </c>
    </row>
    <row r="689">
      <c r="A689">
        <f>INT(B689)</f>
        <v/>
      </c>
      <c r="B689" s="37" t="n">
        <v>46345</v>
      </c>
      <c r="C689">
        <f>TEXT(B689,"mmm")</f>
        <v/>
      </c>
      <c r="D689">
        <f>MONTH(B689)</f>
        <v/>
      </c>
      <c r="E689">
        <f>ROUNDUP(MONTH(B689)/3,0)</f>
        <v/>
      </c>
      <c r="F689">
        <f>YEAR(B689)</f>
        <v/>
      </c>
    </row>
    <row r="690">
      <c r="A690">
        <f>INT(B690)</f>
        <v/>
      </c>
      <c r="B690" s="37" t="n">
        <v>46346</v>
      </c>
      <c r="C690">
        <f>TEXT(B690,"mmm")</f>
        <v/>
      </c>
      <c r="D690">
        <f>MONTH(B690)</f>
        <v/>
      </c>
      <c r="E690">
        <f>ROUNDUP(MONTH(B690)/3,0)</f>
        <v/>
      </c>
      <c r="F690">
        <f>YEAR(B690)</f>
        <v/>
      </c>
    </row>
    <row r="691">
      <c r="A691">
        <f>INT(B691)</f>
        <v/>
      </c>
      <c r="B691" s="37" t="n">
        <v>46347</v>
      </c>
      <c r="C691">
        <f>TEXT(B691,"mmm")</f>
        <v/>
      </c>
      <c r="D691">
        <f>MONTH(B691)</f>
        <v/>
      </c>
      <c r="E691">
        <f>ROUNDUP(MONTH(B691)/3,0)</f>
        <v/>
      </c>
      <c r="F691">
        <f>YEAR(B691)</f>
        <v/>
      </c>
    </row>
    <row r="692">
      <c r="A692">
        <f>INT(B692)</f>
        <v/>
      </c>
      <c r="B692" s="37" t="n">
        <v>46348</v>
      </c>
      <c r="C692">
        <f>TEXT(B692,"mmm")</f>
        <v/>
      </c>
      <c r="D692">
        <f>MONTH(B692)</f>
        <v/>
      </c>
      <c r="E692">
        <f>ROUNDUP(MONTH(B692)/3,0)</f>
        <v/>
      </c>
      <c r="F692">
        <f>YEAR(B692)</f>
        <v/>
      </c>
    </row>
    <row r="693">
      <c r="A693">
        <f>INT(B693)</f>
        <v/>
      </c>
      <c r="B693" s="37" t="n">
        <v>46349</v>
      </c>
      <c r="C693">
        <f>TEXT(B693,"mmm")</f>
        <v/>
      </c>
      <c r="D693">
        <f>MONTH(B693)</f>
        <v/>
      </c>
      <c r="E693">
        <f>ROUNDUP(MONTH(B693)/3,0)</f>
        <v/>
      </c>
      <c r="F693">
        <f>YEAR(B693)</f>
        <v/>
      </c>
    </row>
    <row r="694">
      <c r="A694">
        <f>INT(B694)</f>
        <v/>
      </c>
      <c r="B694" s="37" t="n">
        <v>46350</v>
      </c>
      <c r="C694">
        <f>TEXT(B694,"mmm")</f>
        <v/>
      </c>
      <c r="D694">
        <f>MONTH(B694)</f>
        <v/>
      </c>
      <c r="E694">
        <f>ROUNDUP(MONTH(B694)/3,0)</f>
        <v/>
      </c>
      <c r="F694">
        <f>YEAR(B694)</f>
        <v/>
      </c>
    </row>
    <row r="695">
      <c r="A695">
        <f>INT(B695)</f>
        <v/>
      </c>
      <c r="B695" s="37" t="n">
        <v>46351</v>
      </c>
      <c r="C695">
        <f>TEXT(B695,"mmm")</f>
        <v/>
      </c>
      <c r="D695">
        <f>MONTH(B695)</f>
        <v/>
      </c>
      <c r="E695">
        <f>ROUNDUP(MONTH(B695)/3,0)</f>
        <v/>
      </c>
      <c r="F695">
        <f>YEAR(B695)</f>
        <v/>
      </c>
    </row>
    <row r="696">
      <c r="A696">
        <f>INT(B696)</f>
        <v/>
      </c>
      <c r="B696" s="37" t="n">
        <v>46352</v>
      </c>
      <c r="C696">
        <f>TEXT(B696,"mmm")</f>
        <v/>
      </c>
      <c r="D696">
        <f>MONTH(B696)</f>
        <v/>
      </c>
      <c r="E696">
        <f>ROUNDUP(MONTH(B696)/3,0)</f>
        <v/>
      </c>
      <c r="F696">
        <f>YEAR(B696)</f>
        <v/>
      </c>
    </row>
    <row r="697">
      <c r="A697">
        <f>INT(B697)</f>
        <v/>
      </c>
      <c r="B697" s="37" t="n">
        <v>46353</v>
      </c>
      <c r="C697">
        <f>TEXT(B697,"mmm")</f>
        <v/>
      </c>
      <c r="D697">
        <f>MONTH(B697)</f>
        <v/>
      </c>
      <c r="E697">
        <f>ROUNDUP(MONTH(B697)/3,0)</f>
        <v/>
      </c>
      <c r="F697">
        <f>YEAR(B697)</f>
        <v/>
      </c>
    </row>
    <row r="698">
      <c r="A698">
        <f>INT(B698)</f>
        <v/>
      </c>
      <c r="B698" s="37" t="n">
        <v>46354</v>
      </c>
      <c r="C698">
        <f>TEXT(B698,"mmm")</f>
        <v/>
      </c>
      <c r="D698">
        <f>MONTH(B698)</f>
        <v/>
      </c>
      <c r="E698">
        <f>ROUNDUP(MONTH(B698)/3,0)</f>
        <v/>
      </c>
      <c r="F698">
        <f>YEAR(B698)</f>
        <v/>
      </c>
    </row>
    <row r="699">
      <c r="A699">
        <f>INT(B699)</f>
        <v/>
      </c>
      <c r="B699" s="37" t="n">
        <v>46355</v>
      </c>
      <c r="C699">
        <f>TEXT(B699,"mmm")</f>
        <v/>
      </c>
      <c r="D699">
        <f>MONTH(B699)</f>
        <v/>
      </c>
      <c r="E699">
        <f>ROUNDUP(MONTH(B699)/3,0)</f>
        <v/>
      </c>
      <c r="F699">
        <f>YEAR(B699)</f>
        <v/>
      </c>
    </row>
    <row r="700">
      <c r="A700">
        <f>INT(B700)</f>
        <v/>
      </c>
      <c r="B700" s="37" t="n">
        <v>46356</v>
      </c>
      <c r="C700">
        <f>TEXT(B700,"mmm")</f>
        <v/>
      </c>
      <c r="D700">
        <f>MONTH(B700)</f>
        <v/>
      </c>
      <c r="E700">
        <f>ROUNDUP(MONTH(B700)/3,0)</f>
        <v/>
      </c>
      <c r="F700">
        <f>YEAR(B700)</f>
        <v/>
      </c>
    </row>
    <row r="701">
      <c r="A701">
        <f>INT(B701)</f>
        <v/>
      </c>
      <c r="B701" s="37" t="n">
        <v>46357</v>
      </c>
      <c r="C701">
        <f>TEXT(B701,"mmm")</f>
        <v/>
      </c>
      <c r="D701">
        <f>MONTH(B701)</f>
        <v/>
      </c>
      <c r="E701">
        <f>ROUNDUP(MONTH(B701)/3,0)</f>
        <v/>
      </c>
      <c r="F701">
        <f>YEAR(B701)</f>
        <v/>
      </c>
    </row>
    <row r="702">
      <c r="A702">
        <f>INT(B702)</f>
        <v/>
      </c>
      <c r="B702" s="37" t="n">
        <v>46358</v>
      </c>
      <c r="C702">
        <f>TEXT(B702,"mmm")</f>
        <v/>
      </c>
      <c r="D702">
        <f>MONTH(B702)</f>
        <v/>
      </c>
      <c r="E702">
        <f>ROUNDUP(MONTH(B702)/3,0)</f>
        <v/>
      </c>
      <c r="F702">
        <f>YEAR(B702)</f>
        <v/>
      </c>
    </row>
    <row r="703">
      <c r="A703">
        <f>INT(B703)</f>
        <v/>
      </c>
      <c r="B703" s="37" t="n">
        <v>46359</v>
      </c>
      <c r="C703">
        <f>TEXT(B703,"mmm")</f>
        <v/>
      </c>
      <c r="D703">
        <f>MONTH(B703)</f>
        <v/>
      </c>
      <c r="E703">
        <f>ROUNDUP(MONTH(B703)/3,0)</f>
        <v/>
      </c>
      <c r="F703">
        <f>YEAR(B703)</f>
        <v/>
      </c>
    </row>
    <row r="704">
      <c r="A704">
        <f>INT(B704)</f>
        <v/>
      </c>
      <c r="B704" s="37" t="n">
        <v>46360</v>
      </c>
      <c r="C704">
        <f>TEXT(B704,"mmm")</f>
        <v/>
      </c>
      <c r="D704">
        <f>MONTH(B704)</f>
        <v/>
      </c>
      <c r="E704">
        <f>ROUNDUP(MONTH(B704)/3,0)</f>
        <v/>
      </c>
      <c r="F704">
        <f>YEAR(B704)</f>
        <v/>
      </c>
    </row>
    <row r="705">
      <c r="A705">
        <f>INT(B705)</f>
        <v/>
      </c>
      <c r="B705" s="37" t="n">
        <v>46361</v>
      </c>
      <c r="C705">
        <f>TEXT(B705,"mmm")</f>
        <v/>
      </c>
      <c r="D705">
        <f>MONTH(B705)</f>
        <v/>
      </c>
      <c r="E705">
        <f>ROUNDUP(MONTH(B705)/3,0)</f>
        <v/>
      </c>
      <c r="F705">
        <f>YEAR(B705)</f>
        <v/>
      </c>
    </row>
    <row r="706">
      <c r="A706">
        <f>INT(B706)</f>
        <v/>
      </c>
      <c r="B706" s="37" t="n">
        <v>46362</v>
      </c>
      <c r="C706">
        <f>TEXT(B706,"mmm")</f>
        <v/>
      </c>
      <c r="D706">
        <f>MONTH(B706)</f>
        <v/>
      </c>
      <c r="E706">
        <f>ROUNDUP(MONTH(B706)/3,0)</f>
        <v/>
      </c>
      <c r="F706">
        <f>YEAR(B706)</f>
        <v/>
      </c>
    </row>
    <row r="707">
      <c r="A707">
        <f>INT(B707)</f>
        <v/>
      </c>
      <c r="B707" s="37" t="n">
        <v>46363</v>
      </c>
      <c r="C707">
        <f>TEXT(B707,"mmm")</f>
        <v/>
      </c>
      <c r="D707">
        <f>MONTH(B707)</f>
        <v/>
      </c>
      <c r="E707">
        <f>ROUNDUP(MONTH(B707)/3,0)</f>
        <v/>
      </c>
      <c r="F707">
        <f>YEAR(B707)</f>
        <v/>
      </c>
    </row>
    <row r="708">
      <c r="A708">
        <f>INT(B708)</f>
        <v/>
      </c>
      <c r="B708" s="37" t="n">
        <v>46364</v>
      </c>
      <c r="C708">
        <f>TEXT(B708,"mmm")</f>
        <v/>
      </c>
      <c r="D708">
        <f>MONTH(B708)</f>
        <v/>
      </c>
      <c r="E708">
        <f>ROUNDUP(MONTH(B708)/3,0)</f>
        <v/>
      </c>
      <c r="F708">
        <f>YEAR(B708)</f>
        <v/>
      </c>
    </row>
    <row r="709">
      <c r="A709">
        <f>INT(B709)</f>
        <v/>
      </c>
      <c r="B709" s="37" t="n">
        <v>46365</v>
      </c>
      <c r="C709">
        <f>TEXT(B709,"mmm")</f>
        <v/>
      </c>
      <c r="D709">
        <f>MONTH(B709)</f>
        <v/>
      </c>
      <c r="E709">
        <f>ROUNDUP(MONTH(B709)/3,0)</f>
        <v/>
      </c>
      <c r="F709">
        <f>YEAR(B709)</f>
        <v/>
      </c>
    </row>
    <row r="710">
      <c r="A710">
        <f>INT(B710)</f>
        <v/>
      </c>
      <c r="B710" s="37" t="n">
        <v>46366</v>
      </c>
      <c r="C710">
        <f>TEXT(B710,"mmm")</f>
        <v/>
      </c>
      <c r="D710">
        <f>MONTH(B710)</f>
        <v/>
      </c>
      <c r="E710">
        <f>ROUNDUP(MONTH(B710)/3,0)</f>
        <v/>
      </c>
      <c r="F710">
        <f>YEAR(B710)</f>
        <v/>
      </c>
    </row>
    <row r="711">
      <c r="A711">
        <f>INT(B711)</f>
        <v/>
      </c>
      <c r="B711" s="37" t="n">
        <v>46367</v>
      </c>
      <c r="C711">
        <f>TEXT(B711,"mmm")</f>
        <v/>
      </c>
      <c r="D711">
        <f>MONTH(B711)</f>
        <v/>
      </c>
      <c r="E711">
        <f>ROUNDUP(MONTH(B711)/3,0)</f>
        <v/>
      </c>
      <c r="F711">
        <f>YEAR(B711)</f>
        <v/>
      </c>
    </row>
    <row r="712">
      <c r="A712">
        <f>INT(B712)</f>
        <v/>
      </c>
      <c r="B712" s="37" t="n">
        <v>46368</v>
      </c>
      <c r="C712">
        <f>TEXT(B712,"mmm")</f>
        <v/>
      </c>
      <c r="D712">
        <f>MONTH(B712)</f>
        <v/>
      </c>
      <c r="E712">
        <f>ROUNDUP(MONTH(B712)/3,0)</f>
        <v/>
      </c>
      <c r="F712">
        <f>YEAR(B712)</f>
        <v/>
      </c>
    </row>
    <row r="713">
      <c r="A713">
        <f>INT(B713)</f>
        <v/>
      </c>
      <c r="B713" s="37" t="n">
        <v>46369</v>
      </c>
      <c r="C713">
        <f>TEXT(B713,"mmm")</f>
        <v/>
      </c>
      <c r="D713">
        <f>MONTH(B713)</f>
        <v/>
      </c>
      <c r="E713">
        <f>ROUNDUP(MONTH(B713)/3,0)</f>
        <v/>
      </c>
      <c r="F713">
        <f>YEAR(B713)</f>
        <v/>
      </c>
    </row>
    <row r="714">
      <c r="A714">
        <f>INT(B714)</f>
        <v/>
      </c>
      <c r="B714" s="37" t="n">
        <v>46370</v>
      </c>
      <c r="C714">
        <f>TEXT(B714,"mmm")</f>
        <v/>
      </c>
      <c r="D714">
        <f>MONTH(B714)</f>
        <v/>
      </c>
      <c r="E714">
        <f>ROUNDUP(MONTH(B714)/3,0)</f>
        <v/>
      </c>
      <c r="F714">
        <f>YEAR(B714)</f>
        <v/>
      </c>
    </row>
    <row r="715">
      <c r="A715">
        <f>INT(B715)</f>
        <v/>
      </c>
      <c r="B715" s="37" t="n">
        <v>46371</v>
      </c>
      <c r="C715">
        <f>TEXT(B715,"mmm")</f>
        <v/>
      </c>
      <c r="D715">
        <f>MONTH(B715)</f>
        <v/>
      </c>
      <c r="E715">
        <f>ROUNDUP(MONTH(B715)/3,0)</f>
        <v/>
      </c>
      <c r="F715">
        <f>YEAR(B715)</f>
        <v/>
      </c>
    </row>
    <row r="716">
      <c r="A716">
        <f>INT(B716)</f>
        <v/>
      </c>
      <c r="B716" s="37" t="n">
        <v>46372</v>
      </c>
      <c r="C716">
        <f>TEXT(B716,"mmm")</f>
        <v/>
      </c>
      <c r="D716">
        <f>MONTH(B716)</f>
        <v/>
      </c>
      <c r="E716">
        <f>ROUNDUP(MONTH(B716)/3,0)</f>
        <v/>
      </c>
      <c r="F716">
        <f>YEAR(B716)</f>
        <v/>
      </c>
    </row>
    <row r="717">
      <c r="A717">
        <f>INT(B717)</f>
        <v/>
      </c>
      <c r="B717" s="37" t="n">
        <v>46373</v>
      </c>
      <c r="C717">
        <f>TEXT(B717,"mmm")</f>
        <v/>
      </c>
      <c r="D717">
        <f>MONTH(B717)</f>
        <v/>
      </c>
      <c r="E717">
        <f>ROUNDUP(MONTH(B717)/3,0)</f>
        <v/>
      </c>
      <c r="F717">
        <f>YEAR(B717)</f>
        <v/>
      </c>
    </row>
    <row r="718">
      <c r="A718">
        <f>INT(B718)</f>
        <v/>
      </c>
      <c r="B718" s="37" t="n">
        <v>46374</v>
      </c>
      <c r="C718">
        <f>TEXT(B718,"mmm")</f>
        <v/>
      </c>
      <c r="D718">
        <f>MONTH(B718)</f>
        <v/>
      </c>
      <c r="E718">
        <f>ROUNDUP(MONTH(B718)/3,0)</f>
        <v/>
      </c>
      <c r="F718">
        <f>YEAR(B718)</f>
        <v/>
      </c>
    </row>
    <row r="719">
      <c r="A719">
        <f>INT(B719)</f>
        <v/>
      </c>
      <c r="B719" s="37" t="n">
        <v>46375</v>
      </c>
      <c r="C719">
        <f>TEXT(B719,"mmm")</f>
        <v/>
      </c>
      <c r="D719">
        <f>MONTH(B719)</f>
        <v/>
      </c>
      <c r="E719">
        <f>ROUNDUP(MONTH(B719)/3,0)</f>
        <v/>
      </c>
      <c r="F719">
        <f>YEAR(B719)</f>
        <v/>
      </c>
    </row>
    <row r="720">
      <c r="A720">
        <f>INT(B720)</f>
        <v/>
      </c>
      <c r="B720" s="37" t="n">
        <v>46376</v>
      </c>
      <c r="C720">
        <f>TEXT(B720,"mmm")</f>
        <v/>
      </c>
      <c r="D720">
        <f>MONTH(B720)</f>
        <v/>
      </c>
      <c r="E720">
        <f>ROUNDUP(MONTH(B720)/3,0)</f>
        <v/>
      </c>
      <c r="F720">
        <f>YEAR(B720)</f>
        <v/>
      </c>
    </row>
    <row r="721">
      <c r="A721">
        <f>INT(B721)</f>
        <v/>
      </c>
      <c r="B721" s="37" t="n">
        <v>46377</v>
      </c>
      <c r="C721">
        <f>TEXT(B721,"mmm")</f>
        <v/>
      </c>
      <c r="D721">
        <f>MONTH(B721)</f>
        <v/>
      </c>
      <c r="E721">
        <f>ROUNDUP(MONTH(B721)/3,0)</f>
        <v/>
      </c>
      <c r="F721">
        <f>YEAR(B721)</f>
        <v/>
      </c>
    </row>
    <row r="722">
      <c r="A722">
        <f>INT(B722)</f>
        <v/>
      </c>
      <c r="B722" s="37" t="n">
        <v>46378</v>
      </c>
      <c r="C722">
        <f>TEXT(B722,"mmm")</f>
        <v/>
      </c>
      <c r="D722">
        <f>MONTH(B722)</f>
        <v/>
      </c>
      <c r="E722">
        <f>ROUNDUP(MONTH(B722)/3,0)</f>
        <v/>
      </c>
      <c r="F722">
        <f>YEAR(B722)</f>
        <v/>
      </c>
    </row>
    <row r="723">
      <c r="A723">
        <f>INT(B723)</f>
        <v/>
      </c>
      <c r="B723" s="37" t="n">
        <v>46379</v>
      </c>
      <c r="C723">
        <f>TEXT(B723,"mmm")</f>
        <v/>
      </c>
      <c r="D723">
        <f>MONTH(B723)</f>
        <v/>
      </c>
      <c r="E723">
        <f>ROUNDUP(MONTH(B723)/3,0)</f>
        <v/>
      </c>
      <c r="F723">
        <f>YEAR(B723)</f>
        <v/>
      </c>
    </row>
    <row r="724">
      <c r="A724">
        <f>INT(B724)</f>
        <v/>
      </c>
      <c r="B724" s="37" t="n">
        <v>46380</v>
      </c>
      <c r="C724">
        <f>TEXT(B724,"mmm")</f>
        <v/>
      </c>
      <c r="D724">
        <f>MONTH(B724)</f>
        <v/>
      </c>
      <c r="E724">
        <f>ROUNDUP(MONTH(B724)/3,0)</f>
        <v/>
      </c>
      <c r="F724">
        <f>YEAR(B724)</f>
        <v/>
      </c>
    </row>
    <row r="725">
      <c r="A725">
        <f>INT(B725)</f>
        <v/>
      </c>
      <c r="B725" s="37" t="n">
        <v>46381</v>
      </c>
      <c r="C725">
        <f>TEXT(B725,"mmm")</f>
        <v/>
      </c>
      <c r="D725">
        <f>MONTH(B725)</f>
        <v/>
      </c>
      <c r="E725">
        <f>ROUNDUP(MONTH(B725)/3,0)</f>
        <v/>
      </c>
      <c r="F725">
        <f>YEAR(B725)</f>
        <v/>
      </c>
    </row>
    <row r="726">
      <c r="A726">
        <f>INT(B726)</f>
        <v/>
      </c>
      <c r="B726" s="37" t="n">
        <v>46382</v>
      </c>
      <c r="C726">
        <f>TEXT(B726,"mmm")</f>
        <v/>
      </c>
      <c r="D726">
        <f>MONTH(B726)</f>
        <v/>
      </c>
      <c r="E726">
        <f>ROUNDUP(MONTH(B726)/3,0)</f>
        <v/>
      </c>
      <c r="F726">
        <f>YEAR(B726)</f>
        <v/>
      </c>
    </row>
    <row r="727">
      <c r="A727">
        <f>INT(B727)</f>
        <v/>
      </c>
      <c r="B727" s="37" t="n">
        <v>46383</v>
      </c>
      <c r="C727">
        <f>TEXT(B727,"mmm")</f>
        <v/>
      </c>
      <c r="D727">
        <f>MONTH(B727)</f>
        <v/>
      </c>
      <c r="E727">
        <f>ROUNDUP(MONTH(B727)/3,0)</f>
        <v/>
      </c>
      <c r="F727">
        <f>YEAR(B727)</f>
        <v/>
      </c>
    </row>
    <row r="728">
      <c r="A728">
        <f>INT(B728)</f>
        <v/>
      </c>
      <c r="B728" s="37" t="n">
        <v>46384</v>
      </c>
      <c r="C728">
        <f>TEXT(B728,"mmm")</f>
        <v/>
      </c>
      <c r="D728">
        <f>MONTH(B728)</f>
        <v/>
      </c>
      <c r="E728">
        <f>ROUNDUP(MONTH(B728)/3,0)</f>
        <v/>
      </c>
      <c r="F728">
        <f>YEAR(B728)</f>
        <v/>
      </c>
    </row>
    <row r="729">
      <c r="A729">
        <f>INT(B729)</f>
        <v/>
      </c>
      <c r="B729" s="37" t="n">
        <v>46385</v>
      </c>
      <c r="C729">
        <f>TEXT(B729,"mmm")</f>
        <v/>
      </c>
      <c r="D729">
        <f>MONTH(B729)</f>
        <v/>
      </c>
      <c r="E729">
        <f>ROUNDUP(MONTH(B729)/3,0)</f>
        <v/>
      </c>
      <c r="F729">
        <f>YEAR(B729)</f>
        <v/>
      </c>
    </row>
    <row r="730">
      <c r="A730">
        <f>INT(B730)</f>
        <v/>
      </c>
      <c r="B730" s="37" t="n">
        <v>46386</v>
      </c>
      <c r="C730">
        <f>TEXT(B730,"mmm")</f>
        <v/>
      </c>
      <c r="D730">
        <f>MONTH(B730)</f>
        <v/>
      </c>
      <c r="E730">
        <f>ROUNDUP(MONTH(B730)/3,0)</f>
        <v/>
      </c>
      <c r="F730">
        <f>YEAR(B730)</f>
        <v/>
      </c>
    </row>
    <row r="731">
      <c r="A731">
        <f>INT(B731)</f>
        <v/>
      </c>
      <c r="B731" s="37" t="n">
        <v>46387</v>
      </c>
      <c r="C731">
        <f>TEXT(B731,"mmm")</f>
        <v/>
      </c>
      <c r="D731">
        <f>MONTH(B731)</f>
        <v/>
      </c>
      <c r="E731">
        <f>ROUNDUP(MONTH(B731)/3,0)</f>
        <v/>
      </c>
      <c r="F731">
        <f>YEAR(B731)</f>
        <v/>
      </c>
    </row>
    <row r="732">
      <c r="A732">
        <f>INT(B732)</f>
        <v/>
      </c>
      <c r="B732" s="37" t="n">
        <v>46388</v>
      </c>
      <c r="C732">
        <f>TEXT(B732,"mmm")</f>
        <v/>
      </c>
      <c r="D732">
        <f>MONTH(B732)</f>
        <v/>
      </c>
      <c r="E732">
        <f>ROUNDUP(MONTH(B732)/3,0)</f>
        <v/>
      </c>
      <c r="F732">
        <f>YEAR(B732)</f>
        <v/>
      </c>
    </row>
    <row r="733">
      <c r="A733">
        <f>INT(B733)</f>
        <v/>
      </c>
      <c r="B733" s="37" t="n">
        <v>46389</v>
      </c>
      <c r="C733">
        <f>TEXT(B733,"mmm")</f>
        <v/>
      </c>
      <c r="D733">
        <f>MONTH(B733)</f>
        <v/>
      </c>
      <c r="E733">
        <f>ROUNDUP(MONTH(B733)/3,0)</f>
        <v/>
      </c>
      <c r="F733">
        <f>YEAR(B733)</f>
        <v/>
      </c>
    </row>
    <row r="734">
      <c r="A734">
        <f>INT(B734)</f>
        <v/>
      </c>
      <c r="B734" s="37" t="n">
        <v>46390</v>
      </c>
      <c r="C734">
        <f>TEXT(B734,"mmm")</f>
        <v/>
      </c>
      <c r="D734">
        <f>MONTH(B734)</f>
        <v/>
      </c>
      <c r="E734">
        <f>ROUNDUP(MONTH(B734)/3,0)</f>
        <v/>
      </c>
      <c r="F734">
        <f>YEAR(B734)</f>
        <v/>
      </c>
    </row>
    <row r="735">
      <c r="A735">
        <f>INT(B735)</f>
        <v/>
      </c>
      <c r="B735" s="37" t="n">
        <v>46391</v>
      </c>
      <c r="C735">
        <f>TEXT(B735,"mmm")</f>
        <v/>
      </c>
      <c r="D735">
        <f>MONTH(B735)</f>
        <v/>
      </c>
      <c r="E735">
        <f>ROUNDUP(MONTH(B735)/3,0)</f>
        <v/>
      </c>
      <c r="F735">
        <f>YEAR(B735)</f>
        <v/>
      </c>
    </row>
    <row r="736">
      <c r="A736">
        <f>INT(B736)</f>
        <v/>
      </c>
      <c r="B736" s="37" t="n">
        <v>46392</v>
      </c>
      <c r="C736">
        <f>TEXT(B736,"mmm")</f>
        <v/>
      </c>
      <c r="D736">
        <f>MONTH(B736)</f>
        <v/>
      </c>
      <c r="E736">
        <f>ROUNDUP(MONTH(B736)/3,0)</f>
        <v/>
      </c>
      <c r="F736">
        <f>YEAR(B736)</f>
        <v/>
      </c>
    </row>
    <row r="737">
      <c r="A737">
        <f>INT(B737)</f>
        <v/>
      </c>
      <c r="B737" s="37" t="n">
        <v>46393</v>
      </c>
      <c r="C737">
        <f>TEXT(B737,"mmm")</f>
        <v/>
      </c>
      <c r="D737">
        <f>MONTH(B737)</f>
        <v/>
      </c>
      <c r="E737">
        <f>ROUNDUP(MONTH(B737)/3,0)</f>
        <v/>
      </c>
      <c r="F737">
        <f>YEAR(B737)</f>
        <v/>
      </c>
    </row>
    <row r="738">
      <c r="A738">
        <f>INT(B738)</f>
        <v/>
      </c>
      <c r="B738" s="37" t="n">
        <v>46394</v>
      </c>
      <c r="C738">
        <f>TEXT(B738,"mmm")</f>
        <v/>
      </c>
      <c r="D738">
        <f>MONTH(B738)</f>
        <v/>
      </c>
      <c r="E738">
        <f>ROUNDUP(MONTH(B738)/3,0)</f>
        <v/>
      </c>
      <c r="F738">
        <f>YEAR(B738)</f>
        <v/>
      </c>
    </row>
    <row r="739">
      <c r="A739">
        <f>INT(B739)</f>
        <v/>
      </c>
      <c r="B739" s="37" t="n">
        <v>46395</v>
      </c>
      <c r="C739">
        <f>TEXT(B739,"mmm")</f>
        <v/>
      </c>
      <c r="D739">
        <f>MONTH(B739)</f>
        <v/>
      </c>
      <c r="E739">
        <f>ROUNDUP(MONTH(B739)/3,0)</f>
        <v/>
      </c>
      <c r="F739">
        <f>YEAR(B739)</f>
        <v/>
      </c>
    </row>
    <row r="740">
      <c r="A740">
        <f>INT(B740)</f>
        <v/>
      </c>
      <c r="B740" s="37" t="n">
        <v>46396</v>
      </c>
      <c r="C740">
        <f>TEXT(B740,"mmm")</f>
        <v/>
      </c>
      <c r="D740">
        <f>MONTH(B740)</f>
        <v/>
      </c>
      <c r="E740">
        <f>ROUNDUP(MONTH(B740)/3,0)</f>
        <v/>
      </c>
      <c r="F740">
        <f>YEAR(B740)</f>
        <v/>
      </c>
    </row>
    <row r="741">
      <c r="A741">
        <f>INT(B741)</f>
        <v/>
      </c>
      <c r="B741" s="37" t="n">
        <v>46397</v>
      </c>
      <c r="C741">
        <f>TEXT(B741,"mmm")</f>
        <v/>
      </c>
      <c r="D741">
        <f>MONTH(B741)</f>
        <v/>
      </c>
      <c r="E741">
        <f>ROUNDUP(MONTH(B741)/3,0)</f>
        <v/>
      </c>
      <c r="F741">
        <f>YEAR(B741)</f>
        <v/>
      </c>
    </row>
    <row r="742">
      <c r="A742">
        <f>INT(B742)</f>
        <v/>
      </c>
      <c r="B742" s="37" t="n">
        <v>46398</v>
      </c>
      <c r="C742">
        <f>TEXT(B742,"mmm")</f>
        <v/>
      </c>
      <c r="D742">
        <f>MONTH(B742)</f>
        <v/>
      </c>
      <c r="E742">
        <f>ROUNDUP(MONTH(B742)/3,0)</f>
        <v/>
      </c>
      <c r="F742">
        <f>YEAR(B742)</f>
        <v/>
      </c>
    </row>
    <row r="743">
      <c r="A743">
        <f>INT(B743)</f>
        <v/>
      </c>
      <c r="B743" s="37" t="n">
        <v>46399</v>
      </c>
      <c r="C743">
        <f>TEXT(B743,"mmm")</f>
        <v/>
      </c>
      <c r="D743">
        <f>MONTH(B743)</f>
        <v/>
      </c>
      <c r="E743">
        <f>ROUNDUP(MONTH(B743)/3,0)</f>
        <v/>
      </c>
      <c r="F743">
        <f>YEAR(B743)</f>
        <v/>
      </c>
    </row>
    <row r="744">
      <c r="A744">
        <f>INT(B744)</f>
        <v/>
      </c>
      <c r="B744" s="37" t="n">
        <v>46400</v>
      </c>
      <c r="C744">
        <f>TEXT(B744,"mmm")</f>
        <v/>
      </c>
      <c r="D744">
        <f>MONTH(B744)</f>
        <v/>
      </c>
      <c r="E744">
        <f>ROUNDUP(MONTH(B744)/3,0)</f>
        <v/>
      </c>
      <c r="F744">
        <f>YEAR(B744)</f>
        <v/>
      </c>
    </row>
    <row r="745">
      <c r="A745">
        <f>INT(B745)</f>
        <v/>
      </c>
      <c r="B745" s="37" t="n">
        <v>46401</v>
      </c>
      <c r="C745">
        <f>TEXT(B745,"mmm")</f>
        <v/>
      </c>
      <c r="D745">
        <f>MONTH(B745)</f>
        <v/>
      </c>
      <c r="E745">
        <f>ROUNDUP(MONTH(B745)/3,0)</f>
        <v/>
      </c>
      <c r="F745">
        <f>YEAR(B745)</f>
        <v/>
      </c>
    </row>
    <row r="746">
      <c r="A746">
        <f>INT(B746)</f>
        <v/>
      </c>
      <c r="B746" s="37" t="n">
        <v>46402</v>
      </c>
      <c r="C746">
        <f>TEXT(B746,"mmm")</f>
        <v/>
      </c>
      <c r="D746">
        <f>MONTH(B746)</f>
        <v/>
      </c>
      <c r="E746">
        <f>ROUNDUP(MONTH(B746)/3,0)</f>
        <v/>
      </c>
      <c r="F746">
        <f>YEAR(B746)</f>
        <v/>
      </c>
    </row>
    <row r="747">
      <c r="A747">
        <f>INT(B747)</f>
        <v/>
      </c>
      <c r="B747" s="37" t="n">
        <v>46403</v>
      </c>
      <c r="C747">
        <f>TEXT(B747,"mmm")</f>
        <v/>
      </c>
      <c r="D747">
        <f>MONTH(B747)</f>
        <v/>
      </c>
      <c r="E747">
        <f>ROUNDUP(MONTH(B747)/3,0)</f>
        <v/>
      </c>
      <c r="F747">
        <f>YEAR(B747)</f>
        <v/>
      </c>
    </row>
    <row r="748">
      <c r="A748">
        <f>INT(B748)</f>
        <v/>
      </c>
      <c r="B748" s="37" t="n">
        <v>46404</v>
      </c>
      <c r="C748">
        <f>TEXT(B748,"mmm")</f>
        <v/>
      </c>
      <c r="D748">
        <f>MONTH(B748)</f>
        <v/>
      </c>
      <c r="E748">
        <f>ROUNDUP(MONTH(B748)/3,0)</f>
        <v/>
      </c>
      <c r="F748">
        <f>YEAR(B748)</f>
        <v/>
      </c>
    </row>
    <row r="749">
      <c r="A749">
        <f>INT(B749)</f>
        <v/>
      </c>
      <c r="B749" s="37" t="n">
        <v>46405</v>
      </c>
      <c r="C749">
        <f>TEXT(B749,"mmm")</f>
        <v/>
      </c>
      <c r="D749">
        <f>MONTH(B749)</f>
        <v/>
      </c>
      <c r="E749">
        <f>ROUNDUP(MONTH(B749)/3,0)</f>
        <v/>
      </c>
      <c r="F749">
        <f>YEAR(B749)</f>
        <v/>
      </c>
    </row>
    <row r="750">
      <c r="A750">
        <f>INT(B750)</f>
        <v/>
      </c>
      <c r="B750" s="37" t="n">
        <v>46406</v>
      </c>
      <c r="C750">
        <f>TEXT(B750,"mmm")</f>
        <v/>
      </c>
      <c r="D750">
        <f>MONTH(B750)</f>
        <v/>
      </c>
      <c r="E750">
        <f>ROUNDUP(MONTH(B750)/3,0)</f>
        <v/>
      </c>
      <c r="F750">
        <f>YEAR(B750)</f>
        <v/>
      </c>
    </row>
    <row r="751">
      <c r="A751">
        <f>INT(B751)</f>
        <v/>
      </c>
      <c r="B751" s="37" t="n">
        <v>46407</v>
      </c>
      <c r="C751">
        <f>TEXT(B751,"mmm")</f>
        <v/>
      </c>
      <c r="D751">
        <f>MONTH(B751)</f>
        <v/>
      </c>
      <c r="E751">
        <f>ROUNDUP(MONTH(B751)/3,0)</f>
        <v/>
      </c>
      <c r="F751">
        <f>YEAR(B751)</f>
        <v/>
      </c>
    </row>
    <row r="752">
      <c r="A752">
        <f>INT(B752)</f>
        <v/>
      </c>
      <c r="B752" s="37" t="n">
        <v>46408</v>
      </c>
      <c r="C752">
        <f>TEXT(B752,"mmm")</f>
        <v/>
      </c>
      <c r="D752">
        <f>MONTH(B752)</f>
        <v/>
      </c>
      <c r="E752">
        <f>ROUNDUP(MONTH(B752)/3,0)</f>
        <v/>
      </c>
      <c r="F752">
        <f>YEAR(B752)</f>
        <v/>
      </c>
    </row>
    <row r="753">
      <c r="A753">
        <f>INT(B753)</f>
        <v/>
      </c>
      <c r="B753" s="37" t="n">
        <v>46409</v>
      </c>
      <c r="C753">
        <f>TEXT(B753,"mmm")</f>
        <v/>
      </c>
      <c r="D753">
        <f>MONTH(B753)</f>
        <v/>
      </c>
      <c r="E753">
        <f>ROUNDUP(MONTH(B753)/3,0)</f>
        <v/>
      </c>
      <c r="F753">
        <f>YEAR(B753)</f>
        <v/>
      </c>
    </row>
    <row r="754">
      <c r="A754">
        <f>INT(B754)</f>
        <v/>
      </c>
      <c r="B754" s="37" t="n">
        <v>46410</v>
      </c>
      <c r="C754">
        <f>TEXT(B754,"mmm")</f>
        <v/>
      </c>
      <c r="D754">
        <f>MONTH(B754)</f>
        <v/>
      </c>
      <c r="E754">
        <f>ROUNDUP(MONTH(B754)/3,0)</f>
        <v/>
      </c>
      <c r="F754">
        <f>YEAR(B754)</f>
        <v/>
      </c>
    </row>
    <row r="755">
      <c r="A755">
        <f>INT(B755)</f>
        <v/>
      </c>
      <c r="B755" s="37" t="n">
        <v>46411</v>
      </c>
      <c r="C755">
        <f>TEXT(B755,"mmm")</f>
        <v/>
      </c>
      <c r="D755">
        <f>MONTH(B755)</f>
        <v/>
      </c>
      <c r="E755">
        <f>ROUNDUP(MONTH(B755)/3,0)</f>
        <v/>
      </c>
      <c r="F755">
        <f>YEAR(B755)</f>
        <v/>
      </c>
    </row>
    <row r="756">
      <c r="A756">
        <f>INT(B756)</f>
        <v/>
      </c>
      <c r="B756" s="37" t="n">
        <v>46412</v>
      </c>
      <c r="C756">
        <f>TEXT(B756,"mmm")</f>
        <v/>
      </c>
      <c r="D756">
        <f>MONTH(B756)</f>
        <v/>
      </c>
      <c r="E756">
        <f>ROUNDUP(MONTH(B756)/3,0)</f>
        <v/>
      </c>
      <c r="F756">
        <f>YEAR(B756)</f>
        <v/>
      </c>
    </row>
    <row r="757">
      <c r="A757">
        <f>INT(B757)</f>
        <v/>
      </c>
      <c r="B757" s="37" t="n">
        <v>46413</v>
      </c>
      <c r="C757">
        <f>TEXT(B757,"mmm")</f>
        <v/>
      </c>
      <c r="D757">
        <f>MONTH(B757)</f>
        <v/>
      </c>
      <c r="E757">
        <f>ROUNDUP(MONTH(B757)/3,0)</f>
        <v/>
      </c>
      <c r="F757">
        <f>YEAR(B757)</f>
        <v/>
      </c>
    </row>
    <row r="758">
      <c r="A758">
        <f>INT(B758)</f>
        <v/>
      </c>
      <c r="B758" s="37" t="n">
        <v>46414</v>
      </c>
      <c r="C758">
        <f>TEXT(B758,"mmm")</f>
        <v/>
      </c>
      <c r="D758">
        <f>MONTH(B758)</f>
        <v/>
      </c>
      <c r="E758">
        <f>ROUNDUP(MONTH(B758)/3,0)</f>
        <v/>
      </c>
      <c r="F758">
        <f>YEAR(B758)</f>
        <v/>
      </c>
    </row>
    <row r="759">
      <c r="A759">
        <f>INT(B759)</f>
        <v/>
      </c>
      <c r="B759" s="37" t="n">
        <v>46415</v>
      </c>
      <c r="C759">
        <f>TEXT(B759,"mmm")</f>
        <v/>
      </c>
      <c r="D759">
        <f>MONTH(B759)</f>
        <v/>
      </c>
      <c r="E759">
        <f>ROUNDUP(MONTH(B759)/3,0)</f>
        <v/>
      </c>
      <c r="F759">
        <f>YEAR(B759)</f>
        <v/>
      </c>
    </row>
    <row r="760">
      <c r="A760">
        <f>INT(B760)</f>
        <v/>
      </c>
      <c r="B760" s="37" t="n">
        <v>46416</v>
      </c>
      <c r="C760">
        <f>TEXT(B760,"mmm")</f>
        <v/>
      </c>
      <c r="D760">
        <f>MONTH(B760)</f>
        <v/>
      </c>
      <c r="E760">
        <f>ROUNDUP(MONTH(B760)/3,0)</f>
        <v/>
      </c>
      <c r="F760">
        <f>YEAR(B760)</f>
        <v/>
      </c>
    </row>
    <row r="761">
      <c r="A761">
        <f>INT(B761)</f>
        <v/>
      </c>
      <c r="B761" s="37" t="n">
        <v>46417</v>
      </c>
      <c r="C761">
        <f>TEXT(B761,"mmm")</f>
        <v/>
      </c>
      <c r="D761">
        <f>MONTH(B761)</f>
        <v/>
      </c>
      <c r="E761">
        <f>ROUNDUP(MONTH(B761)/3,0)</f>
        <v/>
      </c>
      <c r="F761">
        <f>YEAR(B761)</f>
        <v/>
      </c>
    </row>
    <row r="762">
      <c r="A762">
        <f>INT(B762)</f>
        <v/>
      </c>
      <c r="B762" s="37" t="n">
        <v>46418</v>
      </c>
      <c r="C762">
        <f>TEXT(B762,"mmm")</f>
        <v/>
      </c>
      <c r="D762">
        <f>MONTH(B762)</f>
        <v/>
      </c>
      <c r="E762">
        <f>ROUNDUP(MONTH(B762)/3,0)</f>
        <v/>
      </c>
      <c r="F762">
        <f>YEAR(B762)</f>
        <v/>
      </c>
    </row>
    <row r="763">
      <c r="A763">
        <f>INT(B763)</f>
        <v/>
      </c>
      <c r="B763" s="37" t="n">
        <v>46419</v>
      </c>
      <c r="C763">
        <f>TEXT(B763,"mmm")</f>
        <v/>
      </c>
      <c r="D763">
        <f>MONTH(B763)</f>
        <v/>
      </c>
      <c r="E763">
        <f>ROUNDUP(MONTH(B763)/3,0)</f>
        <v/>
      </c>
      <c r="F763">
        <f>YEAR(B763)</f>
        <v/>
      </c>
    </row>
    <row r="764">
      <c r="A764">
        <f>INT(B764)</f>
        <v/>
      </c>
      <c r="B764" s="37" t="n">
        <v>46420</v>
      </c>
      <c r="C764">
        <f>TEXT(B764,"mmm")</f>
        <v/>
      </c>
      <c r="D764">
        <f>MONTH(B764)</f>
        <v/>
      </c>
      <c r="E764">
        <f>ROUNDUP(MONTH(B764)/3,0)</f>
        <v/>
      </c>
      <c r="F764">
        <f>YEAR(B764)</f>
        <v/>
      </c>
    </row>
    <row r="765">
      <c r="A765">
        <f>INT(B765)</f>
        <v/>
      </c>
      <c r="B765" s="37" t="n">
        <v>46421</v>
      </c>
      <c r="C765">
        <f>TEXT(B765,"mmm")</f>
        <v/>
      </c>
      <c r="D765">
        <f>MONTH(B765)</f>
        <v/>
      </c>
      <c r="E765">
        <f>ROUNDUP(MONTH(B765)/3,0)</f>
        <v/>
      </c>
      <c r="F765">
        <f>YEAR(B765)</f>
        <v/>
      </c>
    </row>
    <row r="766">
      <c r="A766">
        <f>INT(B766)</f>
        <v/>
      </c>
      <c r="B766" s="37" t="n">
        <v>46422</v>
      </c>
      <c r="C766">
        <f>TEXT(B766,"mmm")</f>
        <v/>
      </c>
      <c r="D766">
        <f>MONTH(B766)</f>
        <v/>
      </c>
      <c r="E766">
        <f>ROUNDUP(MONTH(B766)/3,0)</f>
        <v/>
      </c>
      <c r="F766">
        <f>YEAR(B766)</f>
        <v/>
      </c>
    </row>
    <row r="767">
      <c r="A767">
        <f>INT(B767)</f>
        <v/>
      </c>
      <c r="B767" s="37" t="n">
        <v>46423</v>
      </c>
      <c r="C767">
        <f>TEXT(B767,"mmm")</f>
        <v/>
      </c>
      <c r="D767">
        <f>MONTH(B767)</f>
        <v/>
      </c>
      <c r="E767">
        <f>ROUNDUP(MONTH(B767)/3,0)</f>
        <v/>
      </c>
      <c r="F767">
        <f>YEAR(B767)</f>
        <v/>
      </c>
    </row>
    <row r="768">
      <c r="A768">
        <f>INT(B768)</f>
        <v/>
      </c>
      <c r="B768" s="37" t="n">
        <v>46424</v>
      </c>
      <c r="C768">
        <f>TEXT(B768,"mmm")</f>
        <v/>
      </c>
      <c r="D768">
        <f>MONTH(B768)</f>
        <v/>
      </c>
      <c r="E768">
        <f>ROUNDUP(MONTH(B768)/3,0)</f>
        <v/>
      </c>
      <c r="F768">
        <f>YEAR(B768)</f>
        <v/>
      </c>
    </row>
    <row r="769">
      <c r="A769">
        <f>INT(B769)</f>
        <v/>
      </c>
      <c r="B769" s="37" t="n">
        <v>46425</v>
      </c>
      <c r="C769">
        <f>TEXT(B769,"mmm")</f>
        <v/>
      </c>
      <c r="D769">
        <f>MONTH(B769)</f>
        <v/>
      </c>
      <c r="E769">
        <f>ROUNDUP(MONTH(B769)/3,0)</f>
        <v/>
      </c>
      <c r="F769">
        <f>YEAR(B769)</f>
        <v/>
      </c>
    </row>
    <row r="770">
      <c r="A770">
        <f>INT(B770)</f>
        <v/>
      </c>
      <c r="B770" s="37" t="n">
        <v>46426</v>
      </c>
      <c r="C770">
        <f>TEXT(B770,"mmm")</f>
        <v/>
      </c>
      <c r="D770">
        <f>MONTH(B770)</f>
        <v/>
      </c>
      <c r="E770">
        <f>ROUNDUP(MONTH(B770)/3,0)</f>
        <v/>
      </c>
      <c r="F770">
        <f>YEAR(B770)</f>
        <v/>
      </c>
    </row>
    <row r="771">
      <c r="A771">
        <f>INT(B771)</f>
        <v/>
      </c>
      <c r="B771" s="37" t="n">
        <v>46427</v>
      </c>
      <c r="C771">
        <f>TEXT(B771,"mmm")</f>
        <v/>
      </c>
      <c r="D771">
        <f>MONTH(B771)</f>
        <v/>
      </c>
      <c r="E771">
        <f>ROUNDUP(MONTH(B771)/3,0)</f>
        <v/>
      </c>
      <c r="F771">
        <f>YEAR(B771)</f>
        <v/>
      </c>
    </row>
    <row r="772">
      <c r="A772">
        <f>INT(B772)</f>
        <v/>
      </c>
      <c r="B772" s="37" t="n">
        <v>46428</v>
      </c>
      <c r="C772">
        <f>TEXT(B772,"mmm")</f>
        <v/>
      </c>
      <c r="D772">
        <f>MONTH(B772)</f>
        <v/>
      </c>
      <c r="E772">
        <f>ROUNDUP(MONTH(B772)/3,0)</f>
        <v/>
      </c>
      <c r="F772">
        <f>YEAR(B772)</f>
        <v/>
      </c>
    </row>
    <row r="773">
      <c r="A773">
        <f>INT(B773)</f>
        <v/>
      </c>
      <c r="B773" s="37" t="n">
        <v>46429</v>
      </c>
      <c r="C773">
        <f>TEXT(B773,"mmm")</f>
        <v/>
      </c>
      <c r="D773">
        <f>MONTH(B773)</f>
        <v/>
      </c>
      <c r="E773">
        <f>ROUNDUP(MONTH(B773)/3,0)</f>
        <v/>
      </c>
      <c r="F773">
        <f>YEAR(B773)</f>
        <v/>
      </c>
    </row>
    <row r="774">
      <c r="A774">
        <f>INT(B774)</f>
        <v/>
      </c>
      <c r="B774" s="37" t="n">
        <v>46430</v>
      </c>
      <c r="C774">
        <f>TEXT(B774,"mmm")</f>
        <v/>
      </c>
      <c r="D774">
        <f>MONTH(B774)</f>
        <v/>
      </c>
      <c r="E774">
        <f>ROUNDUP(MONTH(B774)/3,0)</f>
        <v/>
      </c>
      <c r="F774">
        <f>YEAR(B774)</f>
        <v/>
      </c>
    </row>
    <row r="775">
      <c r="A775">
        <f>INT(B775)</f>
        <v/>
      </c>
      <c r="B775" s="37" t="n">
        <v>46431</v>
      </c>
      <c r="C775">
        <f>TEXT(B775,"mmm")</f>
        <v/>
      </c>
      <c r="D775">
        <f>MONTH(B775)</f>
        <v/>
      </c>
      <c r="E775">
        <f>ROUNDUP(MONTH(B775)/3,0)</f>
        <v/>
      </c>
      <c r="F775">
        <f>YEAR(B775)</f>
        <v/>
      </c>
    </row>
    <row r="776">
      <c r="A776">
        <f>INT(B776)</f>
        <v/>
      </c>
      <c r="B776" s="37" t="n">
        <v>46432</v>
      </c>
      <c r="C776">
        <f>TEXT(B776,"mmm")</f>
        <v/>
      </c>
      <c r="D776">
        <f>MONTH(B776)</f>
        <v/>
      </c>
      <c r="E776">
        <f>ROUNDUP(MONTH(B776)/3,0)</f>
        <v/>
      </c>
      <c r="F776">
        <f>YEAR(B776)</f>
        <v/>
      </c>
    </row>
    <row r="777">
      <c r="A777">
        <f>INT(B777)</f>
        <v/>
      </c>
      <c r="B777" s="37" t="n">
        <v>46433</v>
      </c>
      <c r="C777">
        <f>TEXT(B777,"mmm")</f>
        <v/>
      </c>
      <c r="D777">
        <f>MONTH(B777)</f>
        <v/>
      </c>
      <c r="E777">
        <f>ROUNDUP(MONTH(B777)/3,0)</f>
        <v/>
      </c>
      <c r="F777">
        <f>YEAR(B777)</f>
        <v/>
      </c>
    </row>
    <row r="778">
      <c r="A778">
        <f>INT(B778)</f>
        <v/>
      </c>
      <c r="B778" s="37" t="n">
        <v>46434</v>
      </c>
      <c r="C778">
        <f>TEXT(B778,"mmm")</f>
        <v/>
      </c>
      <c r="D778">
        <f>MONTH(B778)</f>
        <v/>
      </c>
      <c r="E778">
        <f>ROUNDUP(MONTH(B778)/3,0)</f>
        <v/>
      </c>
      <c r="F778">
        <f>YEAR(B778)</f>
        <v/>
      </c>
    </row>
    <row r="779">
      <c r="A779">
        <f>INT(B779)</f>
        <v/>
      </c>
      <c r="B779" s="37" t="n">
        <v>46435</v>
      </c>
      <c r="C779">
        <f>TEXT(B779,"mmm")</f>
        <v/>
      </c>
      <c r="D779">
        <f>MONTH(B779)</f>
        <v/>
      </c>
      <c r="E779">
        <f>ROUNDUP(MONTH(B779)/3,0)</f>
        <v/>
      </c>
      <c r="F779">
        <f>YEAR(B779)</f>
        <v/>
      </c>
    </row>
    <row r="780">
      <c r="A780">
        <f>INT(B780)</f>
        <v/>
      </c>
      <c r="B780" s="37" t="n">
        <v>46436</v>
      </c>
      <c r="C780">
        <f>TEXT(B780,"mmm")</f>
        <v/>
      </c>
      <c r="D780">
        <f>MONTH(B780)</f>
        <v/>
      </c>
      <c r="E780">
        <f>ROUNDUP(MONTH(B780)/3,0)</f>
        <v/>
      </c>
      <c r="F780">
        <f>YEAR(B780)</f>
        <v/>
      </c>
    </row>
    <row r="781">
      <c r="A781">
        <f>INT(B781)</f>
        <v/>
      </c>
      <c r="B781" s="37" t="n">
        <v>46437</v>
      </c>
      <c r="C781">
        <f>TEXT(B781,"mmm")</f>
        <v/>
      </c>
      <c r="D781">
        <f>MONTH(B781)</f>
        <v/>
      </c>
      <c r="E781">
        <f>ROUNDUP(MONTH(B781)/3,0)</f>
        <v/>
      </c>
      <c r="F781">
        <f>YEAR(B781)</f>
        <v/>
      </c>
    </row>
    <row r="782">
      <c r="A782">
        <f>INT(B782)</f>
        <v/>
      </c>
      <c r="B782" s="37" t="n">
        <v>46438</v>
      </c>
      <c r="C782">
        <f>TEXT(B782,"mmm")</f>
        <v/>
      </c>
      <c r="D782">
        <f>MONTH(B782)</f>
        <v/>
      </c>
      <c r="E782">
        <f>ROUNDUP(MONTH(B782)/3,0)</f>
        <v/>
      </c>
      <c r="F782">
        <f>YEAR(B782)</f>
        <v/>
      </c>
    </row>
    <row r="783">
      <c r="A783">
        <f>INT(B783)</f>
        <v/>
      </c>
      <c r="B783" s="37" t="n">
        <v>46439</v>
      </c>
      <c r="C783">
        <f>TEXT(B783,"mmm")</f>
        <v/>
      </c>
      <c r="D783">
        <f>MONTH(B783)</f>
        <v/>
      </c>
      <c r="E783">
        <f>ROUNDUP(MONTH(B783)/3,0)</f>
        <v/>
      </c>
      <c r="F783">
        <f>YEAR(B783)</f>
        <v/>
      </c>
    </row>
    <row r="784">
      <c r="A784">
        <f>INT(B784)</f>
        <v/>
      </c>
      <c r="B784" s="37" t="n">
        <v>46440</v>
      </c>
      <c r="C784">
        <f>TEXT(B784,"mmm")</f>
        <v/>
      </c>
      <c r="D784">
        <f>MONTH(B784)</f>
        <v/>
      </c>
      <c r="E784">
        <f>ROUNDUP(MONTH(B784)/3,0)</f>
        <v/>
      </c>
      <c r="F784">
        <f>YEAR(B784)</f>
        <v/>
      </c>
    </row>
    <row r="785">
      <c r="A785">
        <f>INT(B785)</f>
        <v/>
      </c>
      <c r="B785" s="37" t="n">
        <v>46441</v>
      </c>
      <c r="C785">
        <f>TEXT(B785,"mmm")</f>
        <v/>
      </c>
      <c r="D785">
        <f>MONTH(B785)</f>
        <v/>
      </c>
      <c r="E785">
        <f>ROUNDUP(MONTH(B785)/3,0)</f>
        <v/>
      </c>
      <c r="F785">
        <f>YEAR(B785)</f>
        <v/>
      </c>
    </row>
    <row r="786">
      <c r="A786">
        <f>INT(B786)</f>
        <v/>
      </c>
      <c r="B786" s="37" t="n">
        <v>46442</v>
      </c>
      <c r="C786">
        <f>TEXT(B786,"mmm")</f>
        <v/>
      </c>
      <c r="D786">
        <f>MONTH(B786)</f>
        <v/>
      </c>
      <c r="E786">
        <f>ROUNDUP(MONTH(B786)/3,0)</f>
        <v/>
      </c>
      <c r="F786">
        <f>YEAR(B786)</f>
        <v/>
      </c>
    </row>
    <row r="787">
      <c r="A787">
        <f>INT(B787)</f>
        <v/>
      </c>
      <c r="B787" s="37" t="n">
        <v>46443</v>
      </c>
      <c r="C787">
        <f>TEXT(B787,"mmm")</f>
        <v/>
      </c>
      <c r="D787">
        <f>MONTH(B787)</f>
        <v/>
      </c>
      <c r="E787">
        <f>ROUNDUP(MONTH(B787)/3,0)</f>
        <v/>
      </c>
      <c r="F787">
        <f>YEAR(B787)</f>
        <v/>
      </c>
    </row>
    <row r="788">
      <c r="A788">
        <f>INT(B788)</f>
        <v/>
      </c>
      <c r="B788" s="37" t="n">
        <v>46444</v>
      </c>
      <c r="C788">
        <f>TEXT(B788,"mmm")</f>
        <v/>
      </c>
      <c r="D788">
        <f>MONTH(B788)</f>
        <v/>
      </c>
      <c r="E788">
        <f>ROUNDUP(MONTH(B788)/3,0)</f>
        <v/>
      </c>
      <c r="F788">
        <f>YEAR(B788)</f>
        <v/>
      </c>
    </row>
    <row r="789">
      <c r="A789">
        <f>INT(B789)</f>
        <v/>
      </c>
      <c r="B789" s="37" t="n">
        <v>46445</v>
      </c>
      <c r="C789">
        <f>TEXT(B789,"mmm")</f>
        <v/>
      </c>
      <c r="D789">
        <f>MONTH(B789)</f>
        <v/>
      </c>
      <c r="E789">
        <f>ROUNDUP(MONTH(B789)/3,0)</f>
        <v/>
      </c>
      <c r="F789">
        <f>YEAR(B789)</f>
        <v/>
      </c>
    </row>
    <row r="790">
      <c r="A790">
        <f>INT(B790)</f>
        <v/>
      </c>
      <c r="B790" s="37" t="n">
        <v>46446</v>
      </c>
      <c r="C790">
        <f>TEXT(B790,"mmm")</f>
        <v/>
      </c>
      <c r="D790">
        <f>MONTH(B790)</f>
        <v/>
      </c>
      <c r="E790">
        <f>ROUNDUP(MONTH(B790)/3,0)</f>
        <v/>
      </c>
      <c r="F790">
        <f>YEAR(B790)</f>
        <v/>
      </c>
    </row>
    <row r="791">
      <c r="A791">
        <f>INT(B791)</f>
        <v/>
      </c>
      <c r="B791" s="37" t="n">
        <v>46447</v>
      </c>
      <c r="C791">
        <f>TEXT(B791,"mmm")</f>
        <v/>
      </c>
      <c r="D791">
        <f>MONTH(B791)</f>
        <v/>
      </c>
      <c r="E791">
        <f>ROUNDUP(MONTH(B791)/3,0)</f>
        <v/>
      </c>
      <c r="F791">
        <f>YEAR(B791)</f>
        <v/>
      </c>
    </row>
    <row r="792">
      <c r="A792">
        <f>INT(B792)</f>
        <v/>
      </c>
      <c r="B792" s="37" t="n">
        <v>46448</v>
      </c>
      <c r="C792">
        <f>TEXT(B792,"mmm")</f>
        <v/>
      </c>
      <c r="D792">
        <f>MONTH(B792)</f>
        <v/>
      </c>
      <c r="E792">
        <f>ROUNDUP(MONTH(B792)/3,0)</f>
        <v/>
      </c>
      <c r="F792">
        <f>YEAR(B792)</f>
        <v/>
      </c>
    </row>
    <row r="793">
      <c r="A793">
        <f>INT(B793)</f>
        <v/>
      </c>
      <c r="B793" s="37" t="n">
        <v>46449</v>
      </c>
      <c r="C793">
        <f>TEXT(B793,"mmm")</f>
        <v/>
      </c>
      <c r="D793">
        <f>MONTH(B793)</f>
        <v/>
      </c>
      <c r="E793">
        <f>ROUNDUP(MONTH(B793)/3,0)</f>
        <v/>
      </c>
      <c r="F793">
        <f>YEAR(B793)</f>
        <v/>
      </c>
    </row>
    <row r="794">
      <c r="A794">
        <f>INT(B794)</f>
        <v/>
      </c>
      <c r="B794" s="37" t="n">
        <v>46450</v>
      </c>
      <c r="C794">
        <f>TEXT(B794,"mmm")</f>
        <v/>
      </c>
      <c r="D794">
        <f>MONTH(B794)</f>
        <v/>
      </c>
      <c r="E794">
        <f>ROUNDUP(MONTH(B794)/3,0)</f>
        <v/>
      </c>
      <c r="F794">
        <f>YEAR(B794)</f>
        <v/>
      </c>
    </row>
    <row r="795">
      <c r="A795">
        <f>INT(B795)</f>
        <v/>
      </c>
      <c r="B795" s="37" t="n">
        <v>46451</v>
      </c>
      <c r="C795">
        <f>TEXT(B795,"mmm")</f>
        <v/>
      </c>
      <c r="D795">
        <f>MONTH(B795)</f>
        <v/>
      </c>
      <c r="E795">
        <f>ROUNDUP(MONTH(B795)/3,0)</f>
        <v/>
      </c>
      <c r="F795">
        <f>YEAR(B795)</f>
        <v/>
      </c>
    </row>
    <row r="796">
      <c r="A796">
        <f>INT(B796)</f>
        <v/>
      </c>
      <c r="B796" s="37" t="n">
        <v>46452</v>
      </c>
      <c r="C796">
        <f>TEXT(B796,"mmm")</f>
        <v/>
      </c>
      <c r="D796">
        <f>MONTH(B796)</f>
        <v/>
      </c>
      <c r="E796">
        <f>ROUNDUP(MONTH(B796)/3,0)</f>
        <v/>
      </c>
      <c r="F796">
        <f>YEAR(B796)</f>
        <v/>
      </c>
    </row>
    <row r="797">
      <c r="A797">
        <f>INT(B797)</f>
        <v/>
      </c>
      <c r="B797" s="37" t="n">
        <v>46453</v>
      </c>
      <c r="C797">
        <f>TEXT(B797,"mmm")</f>
        <v/>
      </c>
      <c r="D797">
        <f>MONTH(B797)</f>
        <v/>
      </c>
      <c r="E797">
        <f>ROUNDUP(MONTH(B797)/3,0)</f>
        <v/>
      </c>
      <c r="F797">
        <f>YEAR(B797)</f>
        <v/>
      </c>
    </row>
    <row r="798">
      <c r="A798">
        <f>INT(B798)</f>
        <v/>
      </c>
      <c r="B798" s="37" t="n">
        <v>46454</v>
      </c>
      <c r="C798">
        <f>TEXT(B798,"mmm")</f>
        <v/>
      </c>
      <c r="D798">
        <f>MONTH(B798)</f>
        <v/>
      </c>
      <c r="E798">
        <f>ROUNDUP(MONTH(B798)/3,0)</f>
        <v/>
      </c>
      <c r="F798">
        <f>YEAR(B798)</f>
        <v/>
      </c>
    </row>
    <row r="799">
      <c r="A799">
        <f>INT(B799)</f>
        <v/>
      </c>
      <c r="B799" s="37" t="n">
        <v>46455</v>
      </c>
      <c r="C799">
        <f>TEXT(B799,"mmm")</f>
        <v/>
      </c>
      <c r="D799">
        <f>MONTH(B799)</f>
        <v/>
      </c>
      <c r="E799">
        <f>ROUNDUP(MONTH(B799)/3,0)</f>
        <v/>
      </c>
      <c r="F799">
        <f>YEAR(B799)</f>
        <v/>
      </c>
    </row>
    <row r="800">
      <c r="A800">
        <f>INT(B800)</f>
        <v/>
      </c>
      <c r="B800" s="37" t="n">
        <v>46456</v>
      </c>
      <c r="C800">
        <f>TEXT(B800,"mmm")</f>
        <v/>
      </c>
      <c r="D800">
        <f>MONTH(B800)</f>
        <v/>
      </c>
      <c r="E800">
        <f>ROUNDUP(MONTH(B800)/3,0)</f>
        <v/>
      </c>
      <c r="F800">
        <f>YEAR(B800)</f>
        <v/>
      </c>
    </row>
    <row r="801">
      <c r="A801">
        <f>INT(B801)</f>
        <v/>
      </c>
      <c r="B801" s="37" t="n">
        <v>46457</v>
      </c>
      <c r="C801">
        <f>TEXT(B801,"mmm")</f>
        <v/>
      </c>
      <c r="D801">
        <f>MONTH(B801)</f>
        <v/>
      </c>
      <c r="E801">
        <f>ROUNDUP(MONTH(B801)/3,0)</f>
        <v/>
      </c>
      <c r="F801">
        <f>YEAR(B801)</f>
        <v/>
      </c>
    </row>
    <row r="802">
      <c r="A802">
        <f>INT(B802)</f>
        <v/>
      </c>
      <c r="B802" s="37" t="n">
        <v>46458</v>
      </c>
      <c r="C802">
        <f>TEXT(B802,"mmm")</f>
        <v/>
      </c>
      <c r="D802">
        <f>MONTH(B802)</f>
        <v/>
      </c>
      <c r="E802">
        <f>ROUNDUP(MONTH(B802)/3,0)</f>
        <v/>
      </c>
      <c r="F802">
        <f>YEAR(B802)</f>
        <v/>
      </c>
    </row>
    <row r="803">
      <c r="A803">
        <f>INT(B803)</f>
        <v/>
      </c>
      <c r="B803" s="37" t="n">
        <v>46459</v>
      </c>
      <c r="C803">
        <f>TEXT(B803,"mmm")</f>
        <v/>
      </c>
      <c r="D803">
        <f>MONTH(B803)</f>
        <v/>
      </c>
      <c r="E803">
        <f>ROUNDUP(MONTH(B803)/3,0)</f>
        <v/>
      </c>
      <c r="F803">
        <f>YEAR(B803)</f>
        <v/>
      </c>
    </row>
    <row r="804">
      <c r="A804">
        <f>INT(B804)</f>
        <v/>
      </c>
      <c r="B804" s="37" t="n">
        <v>46460</v>
      </c>
      <c r="C804">
        <f>TEXT(B804,"mmm")</f>
        <v/>
      </c>
      <c r="D804">
        <f>MONTH(B804)</f>
        <v/>
      </c>
      <c r="E804">
        <f>ROUNDUP(MONTH(B804)/3,0)</f>
        <v/>
      </c>
      <c r="F804">
        <f>YEAR(B804)</f>
        <v/>
      </c>
    </row>
    <row r="805">
      <c r="A805">
        <f>INT(B805)</f>
        <v/>
      </c>
      <c r="B805" s="37" t="n">
        <v>46461</v>
      </c>
      <c r="C805">
        <f>TEXT(B805,"mmm")</f>
        <v/>
      </c>
      <c r="D805">
        <f>MONTH(B805)</f>
        <v/>
      </c>
      <c r="E805">
        <f>ROUNDUP(MONTH(B805)/3,0)</f>
        <v/>
      </c>
      <c r="F805">
        <f>YEAR(B805)</f>
        <v/>
      </c>
    </row>
    <row r="806">
      <c r="A806">
        <f>INT(B806)</f>
        <v/>
      </c>
      <c r="B806" s="37" t="n">
        <v>46462</v>
      </c>
      <c r="C806">
        <f>TEXT(B806,"mmm")</f>
        <v/>
      </c>
      <c r="D806">
        <f>MONTH(B806)</f>
        <v/>
      </c>
      <c r="E806">
        <f>ROUNDUP(MONTH(B806)/3,0)</f>
        <v/>
      </c>
      <c r="F806">
        <f>YEAR(B806)</f>
        <v/>
      </c>
    </row>
    <row r="807">
      <c r="A807">
        <f>INT(B807)</f>
        <v/>
      </c>
      <c r="B807" s="37" t="n">
        <v>46463</v>
      </c>
      <c r="C807">
        <f>TEXT(B807,"mmm")</f>
        <v/>
      </c>
      <c r="D807">
        <f>MONTH(B807)</f>
        <v/>
      </c>
      <c r="E807">
        <f>ROUNDUP(MONTH(B807)/3,0)</f>
        <v/>
      </c>
      <c r="F807">
        <f>YEAR(B807)</f>
        <v/>
      </c>
    </row>
    <row r="808">
      <c r="A808">
        <f>INT(B808)</f>
        <v/>
      </c>
      <c r="B808" s="37" t="n">
        <v>46464</v>
      </c>
      <c r="C808">
        <f>TEXT(B808,"mmm")</f>
        <v/>
      </c>
      <c r="D808">
        <f>MONTH(B808)</f>
        <v/>
      </c>
      <c r="E808">
        <f>ROUNDUP(MONTH(B808)/3,0)</f>
        <v/>
      </c>
      <c r="F808">
        <f>YEAR(B808)</f>
        <v/>
      </c>
    </row>
    <row r="809">
      <c r="A809">
        <f>INT(B809)</f>
        <v/>
      </c>
      <c r="B809" s="37" t="n">
        <v>46465</v>
      </c>
      <c r="C809">
        <f>TEXT(B809,"mmm")</f>
        <v/>
      </c>
      <c r="D809">
        <f>MONTH(B809)</f>
        <v/>
      </c>
      <c r="E809">
        <f>ROUNDUP(MONTH(B809)/3,0)</f>
        <v/>
      </c>
      <c r="F809">
        <f>YEAR(B809)</f>
        <v/>
      </c>
    </row>
    <row r="810">
      <c r="A810">
        <f>INT(B810)</f>
        <v/>
      </c>
      <c r="B810" s="37" t="n">
        <v>46466</v>
      </c>
      <c r="C810">
        <f>TEXT(B810,"mmm")</f>
        <v/>
      </c>
      <c r="D810">
        <f>MONTH(B810)</f>
        <v/>
      </c>
      <c r="E810">
        <f>ROUNDUP(MONTH(B810)/3,0)</f>
        <v/>
      </c>
      <c r="F810">
        <f>YEAR(B810)</f>
        <v/>
      </c>
    </row>
    <row r="811">
      <c r="A811">
        <f>INT(B811)</f>
        <v/>
      </c>
      <c r="B811" s="37" t="n">
        <v>46467</v>
      </c>
      <c r="C811">
        <f>TEXT(B811,"mmm")</f>
        <v/>
      </c>
      <c r="D811">
        <f>MONTH(B811)</f>
        <v/>
      </c>
      <c r="E811">
        <f>ROUNDUP(MONTH(B811)/3,0)</f>
        <v/>
      </c>
      <c r="F811">
        <f>YEAR(B811)</f>
        <v/>
      </c>
    </row>
    <row r="812">
      <c r="A812">
        <f>INT(B812)</f>
        <v/>
      </c>
      <c r="B812" s="37" t="n">
        <v>46468</v>
      </c>
      <c r="C812">
        <f>TEXT(B812,"mmm")</f>
        <v/>
      </c>
      <c r="D812">
        <f>MONTH(B812)</f>
        <v/>
      </c>
      <c r="E812">
        <f>ROUNDUP(MONTH(B812)/3,0)</f>
        <v/>
      </c>
      <c r="F812">
        <f>YEAR(B812)</f>
        <v/>
      </c>
    </row>
    <row r="813">
      <c r="A813">
        <f>INT(B813)</f>
        <v/>
      </c>
      <c r="B813" s="37" t="n">
        <v>46469</v>
      </c>
      <c r="C813">
        <f>TEXT(B813,"mmm")</f>
        <v/>
      </c>
      <c r="D813">
        <f>MONTH(B813)</f>
        <v/>
      </c>
      <c r="E813">
        <f>ROUNDUP(MONTH(B813)/3,0)</f>
        <v/>
      </c>
      <c r="F813">
        <f>YEAR(B813)</f>
        <v/>
      </c>
    </row>
    <row r="814">
      <c r="A814">
        <f>INT(B814)</f>
        <v/>
      </c>
      <c r="B814" s="37" t="n">
        <v>46470</v>
      </c>
      <c r="C814">
        <f>TEXT(B814,"mmm")</f>
        <v/>
      </c>
      <c r="D814">
        <f>MONTH(B814)</f>
        <v/>
      </c>
      <c r="E814">
        <f>ROUNDUP(MONTH(B814)/3,0)</f>
        <v/>
      </c>
      <c r="F814">
        <f>YEAR(B814)</f>
        <v/>
      </c>
    </row>
    <row r="815">
      <c r="A815">
        <f>INT(B815)</f>
        <v/>
      </c>
      <c r="B815" s="37" t="n">
        <v>46471</v>
      </c>
      <c r="C815">
        <f>TEXT(B815,"mmm")</f>
        <v/>
      </c>
      <c r="D815">
        <f>MONTH(B815)</f>
        <v/>
      </c>
      <c r="E815">
        <f>ROUNDUP(MONTH(B815)/3,0)</f>
        <v/>
      </c>
      <c r="F815">
        <f>YEAR(B815)</f>
        <v/>
      </c>
    </row>
    <row r="816">
      <c r="A816">
        <f>INT(B816)</f>
        <v/>
      </c>
      <c r="B816" s="37" t="n">
        <v>46472</v>
      </c>
      <c r="C816">
        <f>TEXT(B816,"mmm")</f>
        <v/>
      </c>
      <c r="D816">
        <f>MONTH(B816)</f>
        <v/>
      </c>
      <c r="E816">
        <f>ROUNDUP(MONTH(B816)/3,0)</f>
        <v/>
      </c>
      <c r="F816">
        <f>YEAR(B816)</f>
        <v/>
      </c>
    </row>
    <row r="817">
      <c r="A817">
        <f>INT(B817)</f>
        <v/>
      </c>
      <c r="B817" s="37" t="n">
        <v>46473</v>
      </c>
      <c r="C817">
        <f>TEXT(B817,"mmm")</f>
        <v/>
      </c>
      <c r="D817">
        <f>MONTH(B817)</f>
        <v/>
      </c>
      <c r="E817">
        <f>ROUNDUP(MONTH(B817)/3,0)</f>
        <v/>
      </c>
      <c r="F817">
        <f>YEAR(B817)</f>
        <v/>
      </c>
    </row>
    <row r="818">
      <c r="A818">
        <f>INT(B818)</f>
        <v/>
      </c>
      <c r="B818" s="37" t="n">
        <v>46474</v>
      </c>
      <c r="C818">
        <f>TEXT(B818,"mmm")</f>
        <v/>
      </c>
      <c r="D818">
        <f>MONTH(B818)</f>
        <v/>
      </c>
      <c r="E818">
        <f>ROUNDUP(MONTH(B818)/3,0)</f>
        <v/>
      </c>
      <c r="F818">
        <f>YEAR(B818)</f>
        <v/>
      </c>
    </row>
    <row r="819">
      <c r="A819">
        <f>INT(B819)</f>
        <v/>
      </c>
      <c r="B819" s="37" t="n">
        <v>46475</v>
      </c>
      <c r="C819">
        <f>TEXT(B819,"mmm")</f>
        <v/>
      </c>
      <c r="D819">
        <f>MONTH(B819)</f>
        <v/>
      </c>
      <c r="E819">
        <f>ROUNDUP(MONTH(B819)/3,0)</f>
        <v/>
      </c>
      <c r="F819">
        <f>YEAR(B819)</f>
        <v/>
      </c>
    </row>
    <row r="820">
      <c r="A820">
        <f>INT(B820)</f>
        <v/>
      </c>
      <c r="B820" s="37" t="n">
        <v>46476</v>
      </c>
      <c r="C820">
        <f>TEXT(B820,"mmm")</f>
        <v/>
      </c>
      <c r="D820">
        <f>MONTH(B820)</f>
        <v/>
      </c>
      <c r="E820">
        <f>ROUNDUP(MONTH(B820)/3,0)</f>
        <v/>
      </c>
      <c r="F820">
        <f>YEAR(B820)</f>
        <v/>
      </c>
    </row>
    <row r="821">
      <c r="A821">
        <f>INT(B821)</f>
        <v/>
      </c>
      <c r="B821" s="37" t="n">
        <v>46477</v>
      </c>
      <c r="C821">
        <f>TEXT(B821,"mmm")</f>
        <v/>
      </c>
      <c r="D821">
        <f>MONTH(B821)</f>
        <v/>
      </c>
      <c r="E821">
        <f>ROUNDUP(MONTH(B821)/3,0)</f>
        <v/>
      </c>
      <c r="F821">
        <f>YEAR(B821)</f>
        <v/>
      </c>
    </row>
    <row r="822">
      <c r="A822">
        <f>INT(B822)</f>
        <v/>
      </c>
      <c r="B822" s="37" t="n">
        <v>46478</v>
      </c>
      <c r="C822">
        <f>TEXT(B822,"mmm")</f>
        <v/>
      </c>
      <c r="D822">
        <f>MONTH(B822)</f>
        <v/>
      </c>
      <c r="E822">
        <f>ROUNDUP(MONTH(B822)/3,0)</f>
        <v/>
      </c>
      <c r="F822">
        <f>YEAR(B822)</f>
        <v/>
      </c>
    </row>
    <row r="823">
      <c r="A823">
        <f>INT(B823)</f>
        <v/>
      </c>
      <c r="B823" s="37" t="n">
        <v>46479</v>
      </c>
      <c r="C823">
        <f>TEXT(B823,"mmm")</f>
        <v/>
      </c>
      <c r="D823">
        <f>MONTH(B823)</f>
        <v/>
      </c>
      <c r="E823">
        <f>ROUNDUP(MONTH(B823)/3,0)</f>
        <v/>
      </c>
      <c r="F823">
        <f>YEAR(B823)</f>
        <v/>
      </c>
    </row>
    <row r="824">
      <c r="A824">
        <f>INT(B824)</f>
        <v/>
      </c>
      <c r="B824" s="37" t="n">
        <v>46480</v>
      </c>
      <c r="C824">
        <f>TEXT(B824,"mmm")</f>
        <v/>
      </c>
      <c r="D824">
        <f>MONTH(B824)</f>
        <v/>
      </c>
      <c r="E824">
        <f>ROUNDUP(MONTH(B824)/3,0)</f>
        <v/>
      </c>
      <c r="F824">
        <f>YEAR(B824)</f>
        <v/>
      </c>
    </row>
    <row r="825">
      <c r="A825">
        <f>INT(B825)</f>
        <v/>
      </c>
      <c r="B825" s="37" t="n">
        <v>46481</v>
      </c>
      <c r="C825">
        <f>TEXT(B825,"mmm")</f>
        <v/>
      </c>
      <c r="D825">
        <f>MONTH(B825)</f>
        <v/>
      </c>
      <c r="E825">
        <f>ROUNDUP(MONTH(B825)/3,0)</f>
        <v/>
      </c>
      <c r="F825">
        <f>YEAR(B825)</f>
        <v/>
      </c>
    </row>
    <row r="826">
      <c r="A826">
        <f>INT(B826)</f>
        <v/>
      </c>
      <c r="B826" s="37" t="n">
        <v>46482</v>
      </c>
      <c r="C826">
        <f>TEXT(B826,"mmm")</f>
        <v/>
      </c>
      <c r="D826">
        <f>MONTH(B826)</f>
        <v/>
      </c>
      <c r="E826">
        <f>ROUNDUP(MONTH(B826)/3,0)</f>
        <v/>
      </c>
      <c r="F826">
        <f>YEAR(B826)</f>
        <v/>
      </c>
    </row>
    <row r="827">
      <c r="A827">
        <f>INT(B827)</f>
        <v/>
      </c>
      <c r="B827" s="37" t="n">
        <v>46483</v>
      </c>
      <c r="C827">
        <f>TEXT(B827,"mmm")</f>
        <v/>
      </c>
      <c r="D827">
        <f>MONTH(B827)</f>
        <v/>
      </c>
      <c r="E827">
        <f>ROUNDUP(MONTH(B827)/3,0)</f>
        <v/>
      </c>
      <c r="F827">
        <f>YEAR(B827)</f>
        <v/>
      </c>
    </row>
    <row r="828">
      <c r="A828">
        <f>INT(B828)</f>
        <v/>
      </c>
      <c r="B828" s="37" t="n">
        <v>46484</v>
      </c>
      <c r="C828">
        <f>TEXT(B828,"mmm")</f>
        <v/>
      </c>
      <c r="D828">
        <f>MONTH(B828)</f>
        <v/>
      </c>
      <c r="E828">
        <f>ROUNDUP(MONTH(B828)/3,0)</f>
        <v/>
      </c>
      <c r="F828">
        <f>YEAR(B828)</f>
        <v/>
      </c>
    </row>
    <row r="829">
      <c r="A829">
        <f>INT(B829)</f>
        <v/>
      </c>
      <c r="B829" s="37" t="n">
        <v>46485</v>
      </c>
      <c r="C829">
        <f>TEXT(B829,"mmm")</f>
        <v/>
      </c>
      <c r="D829">
        <f>MONTH(B829)</f>
        <v/>
      </c>
      <c r="E829">
        <f>ROUNDUP(MONTH(B829)/3,0)</f>
        <v/>
      </c>
      <c r="F829">
        <f>YEAR(B829)</f>
        <v/>
      </c>
    </row>
    <row r="830">
      <c r="A830">
        <f>INT(B830)</f>
        <v/>
      </c>
      <c r="B830" s="37" t="n">
        <v>46486</v>
      </c>
      <c r="C830">
        <f>TEXT(B830,"mmm")</f>
        <v/>
      </c>
      <c r="D830">
        <f>MONTH(B830)</f>
        <v/>
      </c>
      <c r="E830">
        <f>ROUNDUP(MONTH(B830)/3,0)</f>
        <v/>
      </c>
      <c r="F830">
        <f>YEAR(B830)</f>
        <v/>
      </c>
    </row>
    <row r="831">
      <c r="A831">
        <f>INT(B831)</f>
        <v/>
      </c>
      <c r="B831" s="37" t="n">
        <v>46487</v>
      </c>
      <c r="C831">
        <f>TEXT(B831,"mmm")</f>
        <v/>
      </c>
      <c r="D831">
        <f>MONTH(B831)</f>
        <v/>
      </c>
      <c r="E831">
        <f>ROUNDUP(MONTH(B831)/3,0)</f>
        <v/>
      </c>
      <c r="F831">
        <f>YEAR(B831)</f>
        <v/>
      </c>
    </row>
    <row r="832">
      <c r="A832">
        <f>INT(B832)</f>
        <v/>
      </c>
      <c r="B832" s="37" t="n">
        <v>46488</v>
      </c>
      <c r="C832">
        <f>TEXT(B832,"mmm")</f>
        <v/>
      </c>
      <c r="D832">
        <f>MONTH(B832)</f>
        <v/>
      </c>
      <c r="E832">
        <f>ROUNDUP(MONTH(B832)/3,0)</f>
        <v/>
      </c>
      <c r="F832">
        <f>YEAR(B832)</f>
        <v/>
      </c>
    </row>
    <row r="833">
      <c r="A833">
        <f>INT(B833)</f>
        <v/>
      </c>
      <c r="B833" s="37" t="n">
        <v>46489</v>
      </c>
      <c r="C833">
        <f>TEXT(B833,"mmm")</f>
        <v/>
      </c>
      <c r="D833">
        <f>MONTH(B833)</f>
        <v/>
      </c>
      <c r="E833">
        <f>ROUNDUP(MONTH(B833)/3,0)</f>
        <v/>
      </c>
      <c r="F833">
        <f>YEAR(B833)</f>
        <v/>
      </c>
    </row>
    <row r="834">
      <c r="A834">
        <f>INT(B834)</f>
        <v/>
      </c>
      <c r="B834" s="37" t="n">
        <v>46490</v>
      </c>
      <c r="C834">
        <f>TEXT(B834,"mmm")</f>
        <v/>
      </c>
      <c r="D834">
        <f>MONTH(B834)</f>
        <v/>
      </c>
      <c r="E834">
        <f>ROUNDUP(MONTH(B834)/3,0)</f>
        <v/>
      </c>
      <c r="F834">
        <f>YEAR(B834)</f>
        <v/>
      </c>
    </row>
    <row r="835">
      <c r="A835">
        <f>INT(B835)</f>
        <v/>
      </c>
      <c r="B835" s="37" t="n">
        <v>46491</v>
      </c>
      <c r="C835">
        <f>TEXT(B835,"mmm")</f>
        <v/>
      </c>
      <c r="D835">
        <f>MONTH(B835)</f>
        <v/>
      </c>
      <c r="E835">
        <f>ROUNDUP(MONTH(B835)/3,0)</f>
        <v/>
      </c>
      <c r="F835">
        <f>YEAR(B835)</f>
        <v/>
      </c>
    </row>
    <row r="836">
      <c r="A836">
        <f>INT(B836)</f>
        <v/>
      </c>
      <c r="B836" s="37" t="n">
        <v>46492</v>
      </c>
      <c r="C836">
        <f>TEXT(B836,"mmm")</f>
        <v/>
      </c>
      <c r="D836">
        <f>MONTH(B836)</f>
        <v/>
      </c>
      <c r="E836">
        <f>ROUNDUP(MONTH(B836)/3,0)</f>
        <v/>
      </c>
      <c r="F836">
        <f>YEAR(B836)</f>
        <v/>
      </c>
    </row>
    <row r="837">
      <c r="A837">
        <f>INT(B837)</f>
        <v/>
      </c>
      <c r="B837" s="37" t="n">
        <v>46493</v>
      </c>
      <c r="C837">
        <f>TEXT(B837,"mmm")</f>
        <v/>
      </c>
      <c r="D837">
        <f>MONTH(B837)</f>
        <v/>
      </c>
      <c r="E837">
        <f>ROUNDUP(MONTH(B837)/3,0)</f>
        <v/>
      </c>
      <c r="F837">
        <f>YEAR(B837)</f>
        <v/>
      </c>
    </row>
    <row r="838">
      <c r="A838">
        <f>INT(B838)</f>
        <v/>
      </c>
      <c r="B838" s="37" t="n">
        <v>46494</v>
      </c>
      <c r="C838">
        <f>TEXT(B838,"mmm")</f>
        <v/>
      </c>
      <c r="D838">
        <f>MONTH(B838)</f>
        <v/>
      </c>
      <c r="E838">
        <f>ROUNDUP(MONTH(B838)/3,0)</f>
        <v/>
      </c>
      <c r="F838">
        <f>YEAR(B838)</f>
        <v/>
      </c>
    </row>
    <row r="839">
      <c r="A839">
        <f>INT(B839)</f>
        <v/>
      </c>
      <c r="B839" s="37" t="n">
        <v>46495</v>
      </c>
      <c r="C839">
        <f>TEXT(B839,"mmm")</f>
        <v/>
      </c>
      <c r="D839">
        <f>MONTH(B839)</f>
        <v/>
      </c>
      <c r="E839">
        <f>ROUNDUP(MONTH(B839)/3,0)</f>
        <v/>
      </c>
      <c r="F839">
        <f>YEAR(B839)</f>
        <v/>
      </c>
    </row>
    <row r="840">
      <c r="A840">
        <f>INT(B840)</f>
        <v/>
      </c>
      <c r="B840" s="37" t="n">
        <v>46496</v>
      </c>
      <c r="C840">
        <f>TEXT(B840,"mmm")</f>
        <v/>
      </c>
      <c r="D840">
        <f>MONTH(B840)</f>
        <v/>
      </c>
      <c r="E840">
        <f>ROUNDUP(MONTH(B840)/3,0)</f>
        <v/>
      </c>
      <c r="F840">
        <f>YEAR(B840)</f>
        <v/>
      </c>
    </row>
    <row r="841">
      <c r="A841">
        <f>INT(B841)</f>
        <v/>
      </c>
      <c r="B841" s="37" t="n">
        <v>46497</v>
      </c>
      <c r="C841">
        <f>TEXT(B841,"mmm")</f>
        <v/>
      </c>
      <c r="D841">
        <f>MONTH(B841)</f>
        <v/>
      </c>
      <c r="E841">
        <f>ROUNDUP(MONTH(B841)/3,0)</f>
        <v/>
      </c>
      <c r="F841">
        <f>YEAR(B841)</f>
        <v/>
      </c>
    </row>
    <row r="842">
      <c r="A842">
        <f>INT(B842)</f>
        <v/>
      </c>
      <c r="B842" s="37" t="n">
        <v>46498</v>
      </c>
      <c r="C842">
        <f>TEXT(B842,"mmm")</f>
        <v/>
      </c>
      <c r="D842">
        <f>MONTH(B842)</f>
        <v/>
      </c>
      <c r="E842">
        <f>ROUNDUP(MONTH(B842)/3,0)</f>
        <v/>
      </c>
      <c r="F842">
        <f>YEAR(B842)</f>
        <v/>
      </c>
    </row>
    <row r="843">
      <c r="A843">
        <f>INT(B843)</f>
        <v/>
      </c>
      <c r="B843" s="37" t="n">
        <v>46499</v>
      </c>
      <c r="C843">
        <f>TEXT(B843,"mmm")</f>
        <v/>
      </c>
      <c r="D843">
        <f>MONTH(B843)</f>
        <v/>
      </c>
      <c r="E843">
        <f>ROUNDUP(MONTH(B843)/3,0)</f>
        <v/>
      </c>
      <c r="F843">
        <f>YEAR(B843)</f>
        <v/>
      </c>
    </row>
    <row r="844">
      <c r="A844">
        <f>INT(B844)</f>
        <v/>
      </c>
      <c r="B844" s="37" t="n">
        <v>46500</v>
      </c>
      <c r="C844">
        <f>TEXT(B844,"mmm")</f>
        <v/>
      </c>
      <c r="D844">
        <f>MONTH(B844)</f>
        <v/>
      </c>
      <c r="E844">
        <f>ROUNDUP(MONTH(B844)/3,0)</f>
        <v/>
      </c>
      <c r="F844">
        <f>YEAR(B844)</f>
        <v/>
      </c>
    </row>
    <row r="845">
      <c r="A845">
        <f>INT(B845)</f>
        <v/>
      </c>
      <c r="B845" s="37" t="n">
        <v>46501</v>
      </c>
      <c r="C845">
        <f>TEXT(B845,"mmm")</f>
        <v/>
      </c>
      <c r="D845">
        <f>MONTH(B845)</f>
        <v/>
      </c>
      <c r="E845">
        <f>ROUNDUP(MONTH(B845)/3,0)</f>
        <v/>
      </c>
      <c r="F845">
        <f>YEAR(B845)</f>
        <v/>
      </c>
    </row>
    <row r="846">
      <c r="A846">
        <f>INT(B846)</f>
        <v/>
      </c>
      <c r="B846" s="37" t="n">
        <v>46502</v>
      </c>
      <c r="C846">
        <f>TEXT(B846,"mmm")</f>
        <v/>
      </c>
      <c r="D846">
        <f>MONTH(B846)</f>
        <v/>
      </c>
      <c r="E846">
        <f>ROUNDUP(MONTH(B846)/3,0)</f>
        <v/>
      </c>
      <c r="F846">
        <f>YEAR(B846)</f>
        <v/>
      </c>
    </row>
    <row r="847">
      <c r="A847">
        <f>INT(B847)</f>
        <v/>
      </c>
      <c r="B847" s="37" t="n">
        <v>46503</v>
      </c>
      <c r="C847">
        <f>TEXT(B847,"mmm")</f>
        <v/>
      </c>
      <c r="D847">
        <f>MONTH(B847)</f>
        <v/>
      </c>
      <c r="E847">
        <f>ROUNDUP(MONTH(B847)/3,0)</f>
        <v/>
      </c>
      <c r="F847">
        <f>YEAR(B847)</f>
        <v/>
      </c>
    </row>
    <row r="848">
      <c r="A848">
        <f>INT(B848)</f>
        <v/>
      </c>
      <c r="B848" s="37" t="n">
        <v>46504</v>
      </c>
      <c r="C848">
        <f>TEXT(B848,"mmm")</f>
        <v/>
      </c>
      <c r="D848">
        <f>MONTH(B848)</f>
        <v/>
      </c>
      <c r="E848">
        <f>ROUNDUP(MONTH(B848)/3,0)</f>
        <v/>
      </c>
      <c r="F848">
        <f>YEAR(B848)</f>
        <v/>
      </c>
    </row>
    <row r="849">
      <c r="A849">
        <f>INT(B849)</f>
        <v/>
      </c>
      <c r="B849" s="37" t="n">
        <v>46505</v>
      </c>
      <c r="C849">
        <f>TEXT(B849,"mmm")</f>
        <v/>
      </c>
      <c r="D849">
        <f>MONTH(B849)</f>
        <v/>
      </c>
      <c r="E849">
        <f>ROUNDUP(MONTH(B849)/3,0)</f>
        <v/>
      </c>
      <c r="F849">
        <f>YEAR(B849)</f>
        <v/>
      </c>
    </row>
    <row r="850">
      <c r="A850">
        <f>INT(B850)</f>
        <v/>
      </c>
      <c r="B850" s="37" t="n">
        <v>46506</v>
      </c>
      <c r="C850">
        <f>TEXT(B850,"mmm")</f>
        <v/>
      </c>
      <c r="D850">
        <f>MONTH(B850)</f>
        <v/>
      </c>
      <c r="E850">
        <f>ROUNDUP(MONTH(B850)/3,0)</f>
        <v/>
      </c>
      <c r="F850">
        <f>YEAR(B850)</f>
        <v/>
      </c>
    </row>
    <row r="851">
      <c r="A851">
        <f>INT(B851)</f>
        <v/>
      </c>
      <c r="B851" s="37" t="n">
        <v>46507</v>
      </c>
      <c r="C851">
        <f>TEXT(B851,"mmm")</f>
        <v/>
      </c>
      <c r="D851">
        <f>MONTH(B851)</f>
        <v/>
      </c>
      <c r="E851">
        <f>ROUNDUP(MONTH(B851)/3,0)</f>
        <v/>
      </c>
      <c r="F851">
        <f>YEAR(B851)</f>
        <v/>
      </c>
    </row>
    <row r="852">
      <c r="A852">
        <f>INT(B852)</f>
        <v/>
      </c>
      <c r="B852" s="37" t="n">
        <v>46508</v>
      </c>
      <c r="C852">
        <f>TEXT(B852,"mmm")</f>
        <v/>
      </c>
      <c r="D852">
        <f>MONTH(B852)</f>
        <v/>
      </c>
      <c r="E852">
        <f>ROUNDUP(MONTH(B852)/3,0)</f>
        <v/>
      </c>
      <c r="F852">
        <f>YEAR(B852)</f>
        <v/>
      </c>
    </row>
    <row r="853">
      <c r="A853">
        <f>INT(B853)</f>
        <v/>
      </c>
      <c r="B853" s="37" t="n">
        <v>46509</v>
      </c>
      <c r="C853">
        <f>TEXT(B853,"mmm")</f>
        <v/>
      </c>
      <c r="D853">
        <f>MONTH(B853)</f>
        <v/>
      </c>
      <c r="E853">
        <f>ROUNDUP(MONTH(B853)/3,0)</f>
        <v/>
      </c>
      <c r="F853">
        <f>YEAR(B853)</f>
        <v/>
      </c>
    </row>
    <row r="854">
      <c r="A854">
        <f>INT(B854)</f>
        <v/>
      </c>
      <c r="B854" s="37" t="n">
        <v>46510</v>
      </c>
      <c r="C854">
        <f>TEXT(B854,"mmm")</f>
        <v/>
      </c>
      <c r="D854">
        <f>MONTH(B854)</f>
        <v/>
      </c>
      <c r="E854">
        <f>ROUNDUP(MONTH(B854)/3,0)</f>
        <v/>
      </c>
      <c r="F854">
        <f>YEAR(B854)</f>
        <v/>
      </c>
    </row>
    <row r="855">
      <c r="A855">
        <f>INT(B855)</f>
        <v/>
      </c>
      <c r="B855" s="37" t="n">
        <v>46511</v>
      </c>
      <c r="C855">
        <f>TEXT(B855,"mmm")</f>
        <v/>
      </c>
      <c r="D855">
        <f>MONTH(B855)</f>
        <v/>
      </c>
      <c r="E855">
        <f>ROUNDUP(MONTH(B855)/3,0)</f>
        <v/>
      </c>
      <c r="F855">
        <f>YEAR(B855)</f>
        <v/>
      </c>
    </row>
    <row r="856">
      <c r="A856">
        <f>INT(B856)</f>
        <v/>
      </c>
      <c r="B856" s="37" t="n">
        <v>46512</v>
      </c>
      <c r="C856">
        <f>TEXT(B856,"mmm")</f>
        <v/>
      </c>
      <c r="D856">
        <f>MONTH(B856)</f>
        <v/>
      </c>
      <c r="E856">
        <f>ROUNDUP(MONTH(B856)/3,0)</f>
        <v/>
      </c>
      <c r="F856">
        <f>YEAR(B856)</f>
        <v/>
      </c>
    </row>
    <row r="857">
      <c r="A857">
        <f>INT(B857)</f>
        <v/>
      </c>
      <c r="B857" s="37" t="n">
        <v>46513</v>
      </c>
      <c r="C857">
        <f>TEXT(B857,"mmm")</f>
        <v/>
      </c>
      <c r="D857">
        <f>MONTH(B857)</f>
        <v/>
      </c>
      <c r="E857">
        <f>ROUNDUP(MONTH(B857)/3,0)</f>
        <v/>
      </c>
      <c r="F857">
        <f>YEAR(B857)</f>
        <v/>
      </c>
    </row>
    <row r="858">
      <c r="A858">
        <f>INT(B858)</f>
        <v/>
      </c>
      <c r="B858" s="37" t="n">
        <v>46514</v>
      </c>
      <c r="C858">
        <f>TEXT(B858,"mmm")</f>
        <v/>
      </c>
      <c r="D858">
        <f>MONTH(B858)</f>
        <v/>
      </c>
      <c r="E858">
        <f>ROUNDUP(MONTH(B858)/3,0)</f>
        <v/>
      </c>
      <c r="F858">
        <f>YEAR(B858)</f>
        <v/>
      </c>
    </row>
    <row r="859">
      <c r="A859">
        <f>INT(B859)</f>
        <v/>
      </c>
      <c r="B859" s="37" t="n">
        <v>46515</v>
      </c>
      <c r="C859">
        <f>TEXT(B859,"mmm")</f>
        <v/>
      </c>
      <c r="D859">
        <f>MONTH(B859)</f>
        <v/>
      </c>
      <c r="E859">
        <f>ROUNDUP(MONTH(B859)/3,0)</f>
        <v/>
      </c>
      <c r="F859">
        <f>YEAR(B859)</f>
        <v/>
      </c>
    </row>
    <row r="860">
      <c r="A860">
        <f>INT(B860)</f>
        <v/>
      </c>
      <c r="B860" s="37" t="n">
        <v>46516</v>
      </c>
      <c r="C860">
        <f>TEXT(B860,"mmm")</f>
        <v/>
      </c>
      <c r="D860">
        <f>MONTH(B860)</f>
        <v/>
      </c>
      <c r="E860">
        <f>ROUNDUP(MONTH(B860)/3,0)</f>
        <v/>
      </c>
      <c r="F860">
        <f>YEAR(B860)</f>
        <v/>
      </c>
    </row>
    <row r="861">
      <c r="A861">
        <f>INT(B861)</f>
        <v/>
      </c>
      <c r="B861" s="37" t="n">
        <v>46517</v>
      </c>
      <c r="C861">
        <f>TEXT(B861,"mmm")</f>
        <v/>
      </c>
      <c r="D861">
        <f>MONTH(B861)</f>
        <v/>
      </c>
      <c r="E861">
        <f>ROUNDUP(MONTH(B861)/3,0)</f>
        <v/>
      </c>
      <c r="F861">
        <f>YEAR(B861)</f>
        <v/>
      </c>
    </row>
    <row r="862">
      <c r="A862">
        <f>INT(B862)</f>
        <v/>
      </c>
      <c r="B862" s="37" t="n">
        <v>46518</v>
      </c>
      <c r="C862">
        <f>TEXT(B862,"mmm")</f>
        <v/>
      </c>
      <c r="D862">
        <f>MONTH(B862)</f>
        <v/>
      </c>
      <c r="E862">
        <f>ROUNDUP(MONTH(B862)/3,0)</f>
        <v/>
      </c>
      <c r="F862">
        <f>YEAR(B862)</f>
        <v/>
      </c>
    </row>
    <row r="863">
      <c r="A863">
        <f>INT(B863)</f>
        <v/>
      </c>
      <c r="B863" s="37" t="n">
        <v>46519</v>
      </c>
      <c r="C863">
        <f>TEXT(B863,"mmm")</f>
        <v/>
      </c>
      <c r="D863">
        <f>MONTH(B863)</f>
        <v/>
      </c>
      <c r="E863">
        <f>ROUNDUP(MONTH(B863)/3,0)</f>
        <v/>
      </c>
      <c r="F863">
        <f>YEAR(B863)</f>
        <v/>
      </c>
    </row>
    <row r="864">
      <c r="A864">
        <f>INT(B864)</f>
        <v/>
      </c>
      <c r="B864" s="37" t="n">
        <v>46520</v>
      </c>
      <c r="C864">
        <f>TEXT(B864,"mmm")</f>
        <v/>
      </c>
      <c r="D864">
        <f>MONTH(B864)</f>
        <v/>
      </c>
      <c r="E864">
        <f>ROUNDUP(MONTH(B864)/3,0)</f>
        <v/>
      </c>
      <c r="F864">
        <f>YEAR(B864)</f>
        <v/>
      </c>
    </row>
    <row r="865">
      <c r="A865">
        <f>INT(B865)</f>
        <v/>
      </c>
      <c r="B865" s="37" t="n">
        <v>46521</v>
      </c>
      <c r="C865">
        <f>TEXT(B865,"mmm")</f>
        <v/>
      </c>
      <c r="D865">
        <f>MONTH(B865)</f>
        <v/>
      </c>
      <c r="E865">
        <f>ROUNDUP(MONTH(B865)/3,0)</f>
        <v/>
      </c>
      <c r="F865">
        <f>YEAR(B865)</f>
        <v/>
      </c>
    </row>
    <row r="866">
      <c r="A866">
        <f>INT(B866)</f>
        <v/>
      </c>
      <c r="B866" s="37" t="n">
        <v>46522</v>
      </c>
      <c r="C866">
        <f>TEXT(B866,"mmm")</f>
        <v/>
      </c>
      <c r="D866">
        <f>MONTH(B866)</f>
        <v/>
      </c>
      <c r="E866">
        <f>ROUNDUP(MONTH(B866)/3,0)</f>
        <v/>
      </c>
      <c r="F866">
        <f>YEAR(B866)</f>
        <v/>
      </c>
    </row>
    <row r="867">
      <c r="A867">
        <f>INT(B867)</f>
        <v/>
      </c>
      <c r="B867" s="37" t="n">
        <v>46523</v>
      </c>
      <c r="C867">
        <f>TEXT(B867,"mmm")</f>
        <v/>
      </c>
      <c r="D867">
        <f>MONTH(B867)</f>
        <v/>
      </c>
      <c r="E867">
        <f>ROUNDUP(MONTH(B867)/3,0)</f>
        <v/>
      </c>
      <c r="F867">
        <f>YEAR(B867)</f>
        <v/>
      </c>
    </row>
    <row r="868">
      <c r="A868">
        <f>INT(B868)</f>
        <v/>
      </c>
      <c r="B868" s="37" t="n">
        <v>46524</v>
      </c>
      <c r="C868">
        <f>TEXT(B868,"mmm")</f>
        <v/>
      </c>
      <c r="D868">
        <f>MONTH(B868)</f>
        <v/>
      </c>
      <c r="E868">
        <f>ROUNDUP(MONTH(B868)/3,0)</f>
        <v/>
      </c>
      <c r="F868">
        <f>YEAR(B868)</f>
        <v/>
      </c>
    </row>
    <row r="869">
      <c r="A869">
        <f>INT(B869)</f>
        <v/>
      </c>
      <c r="B869" s="37" t="n">
        <v>46525</v>
      </c>
      <c r="C869">
        <f>TEXT(B869,"mmm")</f>
        <v/>
      </c>
      <c r="D869">
        <f>MONTH(B869)</f>
        <v/>
      </c>
      <c r="E869">
        <f>ROUNDUP(MONTH(B869)/3,0)</f>
        <v/>
      </c>
      <c r="F869">
        <f>YEAR(B869)</f>
        <v/>
      </c>
    </row>
    <row r="870">
      <c r="A870">
        <f>INT(B870)</f>
        <v/>
      </c>
      <c r="B870" s="37" t="n">
        <v>46526</v>
      </c>
      <c r="C870">
        <f>TEXT(B870,"mmm")</f>
        <v/>
      </c>
      <c r="D870">
        <f>MONTH(B870)</f>
        <v/>
      </c>
      <c r="E870">
        <f>ROUNDUP(MONTH(B870)/3,0)</f>
        <v/>
      </c>
      <c r="F870">
        <f>YEAR(B870)</f>
        <v/>
      </c>
    </row>
    <row r="871">
      <c r="A871">
        <f>INT(B871)</f>
        <v/>
      </c>
      <c r="B871" s="37" t="n">
        <v>46527</v>
      </c>
      <c r="C871">
        <f>TEXT(B871,"mmm")</f>
        <v/>
      </c>
      <c r="D871">
        <f>MONTH(B871)</f>
        <v/>
      </c>
      <c r="E871">
        <f>ROUNDUP(MONTH(B871)/3,0)</f>
        <v/>
      </c>
      <c r="F871">
        <f>YEAR(B871)</f>
        <v/>
      </c>
    </row>
    <row r="872">
      <c r="A872">
        <f>INT(B872)</f>
        <v/>
      </c>
      <c r="B872" s="37" t="n">
        <v>46528</v>
      </c>
      <c r="C872">
        <f>TEXT(B872,"mmm")</f>
        <v/>
      </c>
      <c r="D872">
        <f>MONTH(B872)</f>
        <v/>
      </c>
      <c r="E872">
        <f>ROUNDUP(MONTH(B872)/3,0)</f>
        <v/>
      </c>
      <c r="F872">
        <f>YEAR(B872)</f>
        <v/>
      </c>
    </row>
    <row r="873">
      <c r="A873">
        <f>INT(B873)</f>
        <v/>
      </c>
      <c r="B873" s="37" t="n">
        <v>46529</v>
      </c>
      <c r="C873">
        <f>TEXT(B873,"mmm")</f>
        <v/>
      </c>
      <c r="D873">
        <f>MONTH(B873)</f>
        <v/>
      </c>
      <c r="E873">
        <f>ROUNDUP(MONTH(B873)/3,0)</f>
        <v/>
      </c>
      <c r="F873">
        <f>YEAR(B873)</f>
        <v/>
      </c>
    </row>
    <row r="874">
      <c r="A874">
        <f>INT(B874)</f>
        <v/>
      </c>
      <c r="B874" s="37" t="n">
        <v>46530</v>
      </c>
      <c r="C874">
        <f>TEXT(B874,"mmm")</f>
        <v/>
      </c>
      <c r="D874">
        <f>MONTH(B874)</f>
        <v/>
      </c>
      <c r="E874">
        <f>ROUNDUP(MONTH(B874)/3,0)</f>
        <v/>
      </c>
      <c r="F874">
        <f>YEAR(B874)</f>
        <v/>
      </c>
    </row>
    <row r="875">
      <c r="A875">
        <f>INT(B875)</f>
        <v/>
      </c>
      <c r="B875" s="37" t="n">
        <v>46531</v>
      </c>
      <c r="C875">
        <f>TEXT(B875,"mmm")</f>
        <v/>
      </c>
      <c r="D875">
        <f>MONTH(B875)</f>
        <v/>
      </c>
      <c r="E875">
        <f>ROUNDUP(MONTH(B875)/3,0)</f>
        <v/>
      </c>
      <c r="F875">
        <f>YEAR(B875)</f>
        <v/>
      </c>
    </row>
    <row r="876">
      <c r="A876">
        <f>INT(B876)</f>
        <v/>
      </c>
      <c r="B876" s="37" t="n">
        <v>46532</v>
      </c>
      <c r="C876">
        <f>TEXT(B876,"mmm")</f>
        <v/>
      </c>
      <c r="D876">
        <f>MONTH(B876)</f>
        <v/>
      </c>
      <c r="E876">
        <f>ROUNDUP(MONTH(B876)/3,0)</f>
        <v/>
      </c>
      <c r="F876">
        <f>YEAR(B876)</f>
        <v/>
      </c>
    </row>
    <row r="877">
      <c r="A877">
        <f>INT(B877)</f>
        <v/>
      </c>
      <c r="B877" s="37" t="n">
        <v>46533</v>
      </c>
      <c r="C877">
        <f>TEXT(B877,"mmm")</f>
        <v/>
      </c>
      <c r="D877">
        <f>MONTH(B877)</f>
        <v/>
      </c>
      <c r="E877">
        <f>ROUNDUP(MONTH(B877)/3,0)</f>
        <v/>
      </c>
      <c r="F877">
        <f>YEAR(B877)</f>
        <v/>
      </c>
    </row>
    <row r="878">
      <c r="A878">
        <f>INT(B878)</f>
        <v/>
      </c>
      <c r="B878" s="37" t="n">
        <v>46534</v>
      </c>
      <c r="C878">
        <f>TEXT(B878,"mmm")</f>
        <v/>
      </c>
      <c r="D878">
        <f>MONTH(B878)</f>
        <v/>
      </c>
      <c r="E878">
        <f>ROUNDUP(MONTH(B878)/3,0)</f>
        <v/>
      </c>
      <c r="F878">
        <f>YEAR(B878)</f>
        <v/>
      </c>
    </row>
    <row r="879">
      <c r="A879">
        <f>INT(B879)</f>
        <v/>
      </c>
      <c r="B879" s="37" t="n">
        <v>46535</v>
      </c>
      <c r="C879">
        <f>TEXT(B879,"mmm")</f>
        <v/>
      </c>
      <c r="D879">
        <f>MONTH(B879)</f>
        <v/>
      </c>
      <c r="E879">
        <f>ROUNDUP(MONTH(B879)/3,0)</f>
        <v/>
      </c>
      <c r="F879">
        <f>YEAR(B879)</f>
        <v/>
      </c>
    </row>
    <row r="880">
      <c r="A880">
        <f>INT(B880)</f>
        <v/>
      </c>
      <c r="B880" s="37" t="n">
        <v>46536</v>
      </c>
      <c r="C880">
        <f>TEXT(B880,"mmm")</f>
        <v/>
      </c>
      <c r="D880">
        <f>MONTH(B880)</f>
        <v/>
      </c>
      <c r="E880">
        <f>ROUNDUP(MONTH(B880)/3,0)</f>
        <v/>
      </c>
      <c r="F880">
        <f>YEAR(B880)</f>
        <v/>
      </c>
    </row>
    <row r="881">
      <c r="A881">
        <f>INT(B881)</f>
        <v/>
      </c>
      <c r="B881" s="37" t="n">
        <v>46537</v>
      </c>
      <c r="C881">
        <f>TEXT(B881,"mmm")</f>
        <v/>
      </c>
      <c r="D881">
        <f>MONTH(B881)</f>
        <v/>
      </c>
      <c r="E881">
        <f>ROUNDUP(MONTH(B881)/3,0)</f>
        <v/>
      </c>
      <c r="F881">
        <f>YEAR(B881)</f>
        <v/>
      </c>
    </row>
    <row r="882">
      <c r="A882">
        <f>INT(B882)</f>
        <v/>
      </c>
      <c r="B882" s="37" t="n">
        <v>46538</v>
      </c>
      <c r="C882">
        <f>TEXT(B882,"mmm")</f>
        <v/>
      </c>
      <c r="D882">
        <f>MONTH(B882)</f>
        <v/>
      </c>
      <c r="E882">
        <f>ROUNDUP(MONTH(B882)/3,0)</f>
        <v/>
      </c>
      <c r="F882">
        <f>YEAR(B882)</f>
        <v/>
      </c>
    </row>
    <row r="883">
      <c r="A883">
        <f>INT(B883)</f>
        <v/>
      </c>
      <c r="B883" s="37" t="n">
        <v>46539</v>
      </c>
      <c r="C883">
        <f>TEXT(B883,"mmm")</f>
        <v/>
      </c>
      <c r="D883">
        <f>MONTH(B883)</f>
        <v/>
      </c>
      <c r="E883">
        <f>ROUNDUP(MONTH(B883)/3,0)</f>
        <v/>
      </c>
      <c r="F883">
        <f>YEAR(B883)</f>
        <v/>
      </c>
    </row>
    <row r="884">
      <c r="A884">
        <f>INT(B884)</f>
        <v/>
      </c>
      <c r="B884" s="37" t="n">
        <v>46540</v>
      </c>
      <c r="C884">
        <f>TEXT(B884,"mmm")</f>
        <v/>
      </c>
      <c r="D884">
        <f>MONTH(B884)</f>
        <v/>
      </c>
      <c r="E884">
        <f>ROUNDUP(MONTH(B884)/3,0)</f>
        <v/>
      </c>
      <c r="F884">
        <f>YEAR(B884)</f>
        <v/>
      </c>
    </row>
    <row r="885">
      <c r="A885">
        <f>INT(B885)</f>
        <v/>
      </c>
      <c r="B885" s="37" t="n">
        <v>46541</v>
      </c>
      <c r="C885">
        <f>TEXT(B885,"mmm")</f>
        <v/>
      </c>
      <c r="D885">
        <f>MONTH(B885)</f>
        <v/>
      </c>
      <c r="E885">
        <f>ROUNDUP(MONTH(B885)/3,0)</f>
        <v/>
      </c>
      <c r="F885">
        <f>YEAR(B885)</f>
        <v/>
      </c>
    </row>
    <row r="886">
      <c r="A886">
        <f>INT(B886)</f>
        <v/>
      </c>
      <c r="B886" s="37" t="n">
        <v>46542</v>
      </c>
      <c r="C886">
        <f>TEXT(B886,"mmm")</f>
        <v/>
      </c>
      <c r="D886">
        <f>MONTH(B886)</f>
        <v/>
      </c>
      <c r="E886">
        <f>ROUNDUP(MONTH(B886)/3,0)</f>
        <v/>
      </c>
      <c r="F886">
        <f>YEAR(B886)</f>
        <v/>
      </c>
    </row>
    <row r="887">
      <c r="A887">
        <f>INT(B887)</f>
        <v/>
      </c>
      <c r="B887" s="37" t="n">
        <v>46543</v>
      </c>
      <c r="C887">
        <f>TEXT(B887,"mmm")</f>
        <v/>
      </c>
      <c r="D887">
        <f>MONTH(B887)</f>
        <v/>
      </c>
      <c r="E887">
        <f>ROUNDUP(MONTH(B887)/3,0)</f>
        <v/>
      </c>
      <c r="F887">
        <f>YEAR(B887)</f>
        <v/>
      </c>
    </row>
    <row r="888">
      <c r="A888">
        <f>INT(B888)</f>
        <v/>
      </c>
      <c r="B888" s="37" t="n">
        <v>46544</v>
      </c>
      <c r="C888">
        <f>TEXT(B888,"mmm")</f>
        <v/>
      </c>
      <c r="D888">
        <f>MONTH(B888)</f>
        <v/>
      </c>
      <c r="E888">
        <f>ROUNDUP(MONTH(B888)/3,0)</f>
        <v/>
      </c>
      <c r="F888">
        <f>YEAR(B888)</f>
        <v/>
      </c>
    </row>
    <row r="889">
      <c r="A889">
        <f>INT(B889)</f>
        <v/>
      </c>
      <c r="B889" s="37" t="n">
        <v>46545</v>
      </c>
      <c r="C889">
        <f>TEXT(B889,"mmm")</f>
        <v/>
      </c>
      <c r="D889">
        <f>MONTH(B889)</f>
        <v/>
      </c>
      <c r="E889">
        <f>ROUNDUP(MONTH(B889)/3,0)</f>
        <v/>
      </c>
      <c r="F889">
        <f>YEAR(B889)</f>
        <v/>
      </c>
    </row>
    <row r="890">
      <c r="A890">
        <f>INT(B890)</f>
        <v/>
      </c>
      <c r="B890" s="37" t="n">
        <v>46546</v>
      </c>
      <c r="C890">
        <f>TEXT(B890,"mmm")</f>
        <v/>
      </c>
      <c r="D890">
        <f>MONTH(B890)</f>
        <v/>
      </c>
      <c r="E890">
        <f>ROUNDUP(MONTH(B890)/3,0)</f>
        <v/>
      </c>
      <c r="F890">
        <f>YEAR(B890)</f>
        <v/>
      </c>
    </row>
    <row r="891">
      <c r="A891">
        <f>INT(B891)</f>
        <v/>
      </c>
      <c r="B891" s="37" t="n">
        <v>46547</v>
      </c>
      <c r="C891">
        <f>TEXT(B891,"mmm")</f>
        <v/>
      </c>
      <c r="D891">
        <f>MONTH(B891)</f>
        <v/>
      </c>
      <c r="E891">
        <f>ROUNDUP(MONTH(B891)/3,0)</f>
        <v/>
      </c>
      <c r="F891">
        <f>YEAR(B891)</f>
        <v/>
      </c>
    </row>
    <row r="892">
      <c r="A892">
        <f>INT(B892)</f>
        <v/>
      </c>
      <c r="B892" s="37" t="n">
        <v>46548</v>
      </c>
      <c r="C892">
        <f>TEXT(B892,"mmm")</f>
        <v/>
      </c>
      <c r="D892">
        <f>MONTH(B892)</f>
        <v/>
      </c>
      <c r="E892">
        <f>ROUNDUP(MONTH(B892)/3,0)</f>
        <v/>
      </c>
      <c r="F892">
        <f>YEAR(B892)</f>
        <v/>
      </c>
    </row>
    <row r="893">
      <c r="A893">
        <f>INT(B893)</f>
        <v/>
      </c>
      <c r="B893" s="37" t="n">
        <v>46549</v>
      </c>
      <c r="C893">
        <f>TEXT(B893,"mmm")</f>
        <v/>
      </c>
      <c r="D893">
        <f>MONTH(B893)</f>
        <v/>
      </c>
      <c r="E893">
        <f>ROUNDUP(MONTH(B893)/3,0)</f>
        <v/>
      </c>
      <c r="F893">
        <f>YEAR(B893)</f>
        <v/>
      </c>
    </row>
    <row r="894">
      <c r="A894">
        <f>INT(B894)</f>
        <v/>
      </c>
      <c r="B894" s="37" t="n">
        <v>46550</v>
      </c>
      <c r="C894">
        <f>TEXT(B894,"mmm")</f>
        <v/>
      </c>
      <c r="D894">
        <f>MONTH(B894)</f>
        <v/>
      </c>
      <c r="E894">
        <f>ROUNDUP(MONTH(B894)/3,0)</f>
        <v/>
      </c>
      <c r="F894">
        <f>YEAR(B894)</f>
        <v/>
      </c>
    </row>
    <row r="895">
      <c r="A895">
        <f>INT(B895)</f>
        <v/>
      </c>
      <c r="B895" s="37" t="n">
        <v>46551</v>
      </c>
      <c r="C895">
        <f>TEXT(B895,"mmm")</f>
        <v/>
      </c>
      <c r="D895">
        <f>MONTH(B895)</f>
        <v/>
      </c>
      <c r="E895">
        <f>ROUNDUP(MONTH(B895)/3,0)</f>
        <v/>
      </c>
      <c r="F895">
        <f>YEAR(B895)</f>
        <v/>
      </c>
    </row>
    <row r="896">
      <c r="A896">
        <f>INT(B896)</f>
        <v/>
      </c>
      <c r="B896" s="37" t="n">
        <v>46552</v>
      </c>
      <c r="C896">
        <f>TEXT(B896,"mmm")</f>
        <v/>
      </c>
      <c r="D896">
        <f>MONTH(B896)</f>
        <v/>
      </c>
      <c r="E896">
        <f>ROUNDUP(MONTH(B896)/3,0)</f>
        <v/>
      </c>
      <c r="F896">
        <f>YEAR(B896)</f>
        <v/>
      </c>
    </row>
    <row r="897">
      <c r="A897">
        <f>INT(B897)</f>
        <v/>
      </c>
      <c r="B897" s="37" t="n">
        <v>46553</v>
      </c>
      <c r="C897">
        <f>TEXT(B897,"mmm")</f>
        <v/>
      </c>
      <c r="D897">
        <f>MONTH(B897)</f>
        <v/>
      </c>
      <c r="E897">
        <f>ROUNDUP(MONTH(B897)/3,0)</f>
        <v/>
      </c>
      <c r="F897">
        <f>YEAR(B897)</f>
        <v/>
      </c>
    </row>
    <row r="898">
      <c r="A898">
        <f>INT(B898)</f>
        <v/>
      </c>
      <c r="B898" s="37" t="n">
        <v>46554</v>
      </c>
      <c r="C898">
        <f>TEXT(B898,"mmm")</f>
        <v/>
      </c>
      <c r="D898">
        <f>MONTH(B898)</f>
        <v/>
      </c>
      <c r="E898">
        <f>ROUNDUP(MONTH(B898)/3,0)</f>
        <v/>
      </c>
      <c r="F898">
        <f>YEAR(B898)</f>
        <v/>
      </c>
    </row>
    <row r="899">
      <c r="A899">
        <f>INT(B899)</f>
        <v/>
      </c>
      <c r="B899" s="37" t="n">
        <v>46555</v>
      </c>
      <c r="C899">
        <f>TEXT(B899,"mmm")</f>
        <v/>
      </c>
      <c r="D899">
        <f>MONTH(B899)</f>
        <v/>
      </c>
      <c r="E899">
        <f>ROUNDUP(MONTH(B899)/3,0)</f>
        <v/>
      </c>
      <c r="F899">
        <f>YEAR(B899)</f>
        <v/>
      </c>
    </row>
    <row r="900">
      <c r="A900">
        <f>INT(B900)</f>
        <v/>
      </c>
      <c r="B900" s="37" t="n">
        <v>46556</v>
      </c>
      <c r="C900">
        <f>TEXT(B900,"mmm")</f>
        <v/>
      </c>
      <c r="D900">
        <f>MONTH(B900)</f>
        <v/>
      </c>
      <c r="E900">
        <f>ROUNDUP(MONTH(B900)/3,0)</f>
        <v/>
      </c>
      <c r="F900">
        <f>YEAR(B900)</f>
        <v/>
      </c>
    </row>
    <row r="901">
      <c r="A901">
        <f>INT(B901)</f>
        <v/>
      </c>
      <c r="B901" s="37" t="n">
        <v>46557</v>
      </c>
      <c r="C901">
        <f>TEXT(B901,"mmm")</f>
        <v/>
      </c>
      <c r="D901">
        <f>MONTH(B901)</f>
        <v/>
      </c>
      <c r="E901">
        <f>ROUNDUP(MONTH(B901)/3,0)</f>
        <v/>
      </c>
      <c r="F901">
        <f>YEAR(B901)</f>
        <v/>
      </c>
    </row>
    <row r="902">
      <c r="A902">
        <f>INT(B902)</f>
        <v/>
      </c>
      <c r="B902" s="37" t="n">
        <v>46558</v>
      </c>
      <c r="C902">
        <f>TEXT(B902,"mmm")</f>
        <v/>
      </c>
      <c r="D902">
        <f>MONTH(B902)</f>
        <v/>
      </c>
      <c r="E902">
        <f>ROUNDUP(MONTH(B902)/3,0)</f>
        <v/>
      </c>
      <c r="F902">
        <f>YEAR(B902)</f>
        <v/>
      </c>
    </row>
    <row r="903">
      <c r="A903">
        <f>INT(B903)</f>
        <v/>
      </c>
      <c r="B903" s="37" t="n">
        <v>46559</v>
      </c>
      <c r="C903">
        <f>TEXT(B903,"mmm")</f>
        <v/>
      </c>
      <c r="D903">
        <f>MONTH(B903)</f>
        <v/>
      </c>
      <c r="E903">
        <f>ROUNDUP(MONTH(B903)/3,0)</f>
        <v/>
      </c>
      <c r="F903">
        <f>YEAR(B903)</f>
        <v/>
      </c>
    </row>
    <row r="904">
      <c r="A904">
        <f>INT(B904)</f>
        <v/>
      </c>
      <c r="B904" s="37" t="n">
        <v>46560</v>
      </c>
      <c r="C904">
        <f>TEXT(B904,"mmm")</f>
        <v/>
      </c>
      <c r="D904">
        <f>MONTH(B904)</f>
        <v/>
      </c>
      <c r="E904">
        <f>ROUNDUP(MONTH(B904)/3,0)</f>
        <v/>
      </c>
      <c r="F904">
        <f>YEAR(B904)</f>
        <v/>
      </c>
    </row>
    <row r="905">
      <c r="A905">
        <f>INT(B905)</f>
        <v/>
      </c>
      <c r="B905" s="37" t="n">
        <v>46561</v>
      </c>
      <c r="C905">
        <f>TEXT(B905,"mmm")</f>
        <v/>
      </c>
      <c r="D905">
        <f>MONTH(B905)</f>
        <v/>
      </c>
      <c r="E905">
        <f>ROUNDUP(MONTH(B905)/3,0)</f>
        <v/>
      </c>
      <c r="F905">
        <f>YEAR(B905)</f>
        <v/>
      </c>
    </row>
    <row r="906">
      <c r="A906">
        <f>INT(B906)</f>
        <v/>
      </c>
      <c r="B906" s="37" t="n">
        <v>46562</v>
      </c>
      <c r="C906">
        <f>TEXT(B906,"mmm")</f>
        <v/>
      </c>
      <c r="D906">
        <f>MONTH(B906)</f>
        <v/>
      </c>
      <c r="E906">
        <f>ROUNDUP(MONTH(B906)/3,0)</f>
        <v/>
      </c>
      <c r="F906">
        <f>YEAR(B906)</f>
        <v/>
      </c>
    </row>
    <row r="907">
      <c r="A907">
        <f>INT(B907)</f>
        <v/>
      </c>
      <c r="B907" s="37" t="n">
        <v>46563</v>
      </c>
      <c r="C907">
        <f>TEXT(B907,"mmm")</f>
        <v/>
      </c>
      <c r="D907">
        <f>MONTH(B907)</f>
        <v/>
      </c>
      <c r="E907">
        <f>ROUNDUP(MONTH(B907)/3,0)</f>
        <v/>
      </c>
      <c r="F907">
        <f>YEAR(B907)</f>
        <v/>
      </c>
    </row>
    <row r="908">
      <c r="A908">
        <f>INT(B908)</f>
        <v/>
      </c>
      <c r="B908" s="37" t="n">
        <v>46564</v>
      </c>
      <c r="C908">
        <f>TEXT(B908,"mmm")</f>
        <v/>
      </c>
      <c r="D908">
        <f>MONTH(B908)</f>
        <v/>
      </c>
      <c r="E908">
        <f>ROUNDUP(MONTH(B908)/3,0)</f>
        <v/>
      </c>
      <c r="F908">
        <f>YEAR(B908)</f>
        <v/>
      </c>
    </row>
    <row r="909">
      <c r="A909">
        <f>INT(B909)</f>
        <v/>
      </c>
      <c r="B909" s="37" t="n">
        <v>46565</v>
      </c>
      <c r="C909">
        <f>TEXT(B909,"mmm")</f>
        <v/>
      </c>
      <c r="D909">
        <f>MONTH(B909)</f>
        <v/>
      </c>
      <c r="E909">
        <f>ROUNDUP(MONTH(B909)/3,0)</f>
        <v/>
      </c>
      <c r="F909">
        <f>YEAR(B909)</f>
        <v/>
      </c>
    </row>
    <row r="910">
      <c r="A910">
        <f>INT(B910)</f>
        <v/>
      </c>
      <c r="B910" s="37" t="n">
        <v>46566</v>
      </c>
      <c r="C910">
        <f>TEXT(B910,"mmm")</f>
        <v/>
      </c>
      <c r="D910">
        <f>MONTH(B910)</f>
        <v/>
      </c>
      <c r="E910">
        <f>ROUNDUP(MONTH(B910)/3,0)</f>
        <v/>
      </c>
      <c r="F910">
        <f>YEAR(B910)</f>
        <v/>
      </c>
    </row>
    <row r="911">
      <c r="A911">
        <f>INT(B911)</f>
        <v/>
      </c>
      <c r="B911" s="37" t="n">
        <v>46567</v>
      </c>
      <c r="C911">
        <f>TEXT(B911,"mmm")</f>
        <v/>
      </c>
      <c r="D911">
        <f>MONTH(B911)</f>
        <v/>
      </c>
      <c r="E911">
        <f>ROUNDUP(MONTH(B911)/3,0)</f>
        <v/>
      </c>
      <c r="F911">
        <f>YEAR(B911)</f>
        <v/>
      </c>
    </row>
    <row r="912">
      <c r="A912">
        <f>INT(B912)</f>
        <v/>
      </c>
      <c r="B912" s="37" t="n">
        <v>46568</v>
      </c>
      <c r="C912">
        <f>TEXT(B912,"mmm")</f>
        <v/>
      </c>
      <c r="D912">
        <f>MONTH(B912)</f>
        <v/>
      </c>
      <c r="E912">
        <f>ROUNDUP(MONTH(B912)/3,0)</f>
        <v/>
      </c>
      <c r="F912">
        <f>YEAR(B912)</f>
        <v/>
      </c>
    </row>
    <row r="913">
      <c r="A913">
        <f>INT(B913)</f>
        <v/>
      </c>
      <c r="B913" s="37" t="n">
        <v>46569</v>
      </c>
      <c r="C913">
        <f>TEXT(B913,"mmm")</f>
        <v/>
      </c>
      <c r="D913">
        <f>MONTH(B913)</f>
        <v/>
      </c>
      <c r="E913">
        <f>ROUNDUP(MONTH(B913)/3,0)</f>
        <v/>
      </c>
      <c r="F913">
        <f>YEAR(B913)</f>
        <v/>
      </c>
    </row>
    <row r="914">
      <c r="A914">
        <f>INT(B914)</f>
        <v/>
      </c>
      <c r="B914" s="37" t="n">
        <v>46570</v>
      </c>
      <c r="C914">
        <f>TEXT(B914,"mmm")</f>
        <v/>
      </c>
      <c r="D914">
        <f>MONTH(B914)</f>
        <v/>
      </c>
      <c r="E914">
        <f>ROUNDUP(MONTH(B914)/3,0)</f>
        <v/>
      </c>
      <c r="F914">
        <f>YEAR(B914)</f>
        <v/>
      </c>
    </row>
    <row r="915">
      <c r="A915">
        <f>INT(B915)</f>
        <v/>
      </c>
      <c r="B915" s="37" t="n">
        <v>46571</v>
      </c>
      <c r="C915">
        <f>TEXT(B915,"mmm")</f>
        <v/>
      </c>
      <c r="D915">
        <f>MONTH(B915)</f>
        <v/>
      </c>
      <c r="E915">
        <f>ROUNDUP(MONTH(B915)/3,0)</f>
        <v/>
      </c>
      <c r="F915">
        <f>YEAR(B915)</f>
        <v/>
      </c>
    </row>
    <row r="916">
      <c r="A916">
        <f>INT(B916)</f>
        <v/>
      </c>
      <c r="B916" s="37" t="n">
        <v>46572</v>
      </c>
      <c r="C916">
        <f>TEXT(B916,"mmm")</f>
        <v/>
      </c>
      <c r="D916">
        <f>MONTH(B916)</f>
        <v/>
      </c>
      <c r="E916">
        <f>ROUNDUP(MONTH(B916)/3,0)</f>
        <v/>
      </c>
      <c r="F916">
        <f>YEAR(B916)</f>
        <v/>
      </c>
    </row>
    <row r="917">
      <c r="A917">
        <f>INT(B917)</f>
        <v/>
      </c>
      <c r="B917" s="37" t="n">
        <v>46573</v>
      </c>
      <c r="C917">
        <f>TEXT(B917,"mmm")</f>
        <v/>
      </c>
      <c r="D917">
        <f>MONTH(B917)</f>
        <v/>
      </c>
      <c r="E917">
        <f>ROUNDUP(MONTH(B917)/3,0)</f>
        <v/>
      </c>
      <c r="F917">
        <f>YEAR(B917)</f>
        <v/>
      </c>
    </row>
    <row r="918">
      <c r="A918">
        <f>INT(B918)</f>
        <v/>
      </c>
      <c r="B918" s="37" t="n">
        <v>46574</v>
      </c>
      <c r="C918">
        <f>TEXT(B918,"mmm")</f>
        <v/>
      </c>
      <c r="D918">
        <f>MONTH(B918)</f>
        <v/>
      </c>
      <c r="E918">
        <f>ROUNDUP(MONTH(B918)/3,0)</f>
        <v/>
      </c>
      <c r="F918">
        <f>YEAR(B918)</f>
        <v/>
      </c>
    </row>
    <row r="919">
      <c r="A919">
        <f>INT(B919)</f>
        <v/>
      </c>
      <c r="B919" s="37" t="n">
        <v>46575</v>
      </c>
      <c r="C919">
        <f>TEXT(B919,"mmm")</f>
        <v/>
      </c>
      <c r="D919">
        <f>MONTH(B919)</f>
        <v/>
      </c>
      <c r="E919">
        <f>ROUNDUP(MONTH(B919)/3,0)</f>
        <v/>
      </c>
      <c r="F919">
        <f>YEAR(B919)</f>
        <v/>
      </c>
    </row>
    <row r="920">
      <c r="A920">
        <f>INT(B920)</f>
        <v/>
      </c>
      <c r="B920" s="37" t="n">
        <v>46576</v>
      </c>
      <c r="C920">
        <f>TEXT(B920,"mmm")</f>
        <v/>
      </c>
      <c r="D920">
        <f>MONTH(B920)</f>
        <v/>
      </c>
      <c r="E920">
        <f>ROUNDUP(MONTH(B920)/3,0)</f>
        <v/>
      </c>
      <c r="F920">
        <f>YEAR(B920)</f>
        <v/>
      </c>
    </row>
    <row r="921">
      <c r="A921">
        <f>INT(B921)</f>
        <v/>
      </c>
      <c r="B921" s="37" t="n">
        <v>46577</v>
      </c>
      <c r="C921">
        <f>TEXT(B921,"mmm")</f>
        <v/>
      </c>
      <c r="D921">
        <f>MONTH(B921)</f>
        <v/>
      </c>
      <c r="E921">
        <f>ROUNDUP(MONTH(B921)/3,0)</f>
        <v/>
      </c>
      <c r="F921">
        <f>YEAR(B921)</f>
        <v/>
      </c>
    </row>
    <row r="922">
      <c r="A922">
        <f>INT(B922)</f>
        <v/>
      </c>
      <c r="B922" s="37" t="n">
        <v>46578</v>
      </c>
      <c r="C922">
        <f>TEXT(B922,"mmm")</f>
        <v/>
      </c>
      <c r="D922">
        <f>MONTH(B922)</f>
        <v/>
      </c>
      <c r="E922">
        <f>ROUNDUP(MONTH(B922)/3,0)</f>
        <v/>
      </c>
      <c r="F922">
        <f>YEAR(B922)</f>
        <v/>
      </c>
    </row>
    <row r="923">
      <c r="A923">
        <f>INT(B923)</f>
        <v/>
      </c>
      <c r="B923" s="37" t="n">
        <v>46579</v>
      </c>
      <c r="C923">
        <f>TEXT(B923,"mmm")</f>
        <v/>
      </c>
      <c r="D923">
        <f>MONTH(B923)</f>
        <v/>
      </c>
      <c r="E923">
        <f>ROUNDUP(MONTH(B923)/3,0)</f>
        <v/>
      </c>
      <c r="F923">
        <f>YEAR(B923)</f>
        <v/>
      </c>
    </row>
    <row r="924">
      <c r="A924">
        <f>INT(B924)</f>
        <v/>
      </c>
      <c r="B924" s="37" t="n">
        <v>46580</v>
      </c>
      <c r="C924">
        <f>TEXT(B924,"mmm")</f>
        <v/>
      </c>
      <c r="D924">
        <f>MONTH(B924)</f>
        <v/>
      </c>
      <c r="E924">
        <f>ROUNDUP(MONTH(B924)/3,0)</f>
        <v/>
      </c>
      <c r="F924">
        <f>YEAR(B924)</f>
        <v/>
      </c>
    </row>
    <row r="925">
      <c r="A925">
        <f>INT(B925)</f>
        <v/>
      </c>
      <c r="B925" s="37" t="n">
        <v>46581</v>
      </c>
      <c r="C925">
        <f>TEXT(B925,"mmm")</f>
        <v/>
      </c>
      <c r="D925">
        <f>MONTH(B925)</f>
        <v/>
      </c>
      <c r="E925">
        <f>ROUNDUP(MONTH(B925)/3,0)</f>
        <v/>
      </c>
      <c r="F925">
        <f>YEAR(B925)</f>
        <v/>
      </c>
    </row>
    <row r="926">
      <c r="A926">
        <f>INT(B926)</f>
        <v/>
      </c>
      <c r="B926" s="37" t="n">
        <v>46582</v>
      </c>
      <c r="C926">
        <f>TEXT(B926,"mmm")</f>
        <v/>
      </c>
      <c r="D926">
        <f>MONTH(B926)</f>
        <v/>
      </c>
      <c r="E926">
        <f>ROUNDUP(MONTH(B926)/3,0)</f>
        <v/>
      </c>
      <c r="F926">
        <f>YEAR(B926)</f>
        <v/>
      </c>
    </row>
    <row r="927">
      <c r="A927">
        <f>INT(B927)</f>
        <v/>
      </c>
      <c r="B927" s="37" t="n">
        <v>46583</v>
      </c>
      <c r="C927">
        <f>TEXT(B927,"mmm")</f>
        <v/>
      </c>
      <c r="D927">
        <f>MONTH(B927)</f>
        <v/>
      </c>
      <c r="E927">
        <f>ROUNDUP(MONTH(B927)/3,0)</f>
        <v/>
      </c>
      <c r="F927">
        <f>YEAR(B927)</f>
        <v/>
      </c>
    </row>
    <row r="928">
      <c r="A928">
        <f>INT(B928)</f>
        <v/>
      </c>
      <c r="B928" s="37" t="n">
        <v>46584</v>
      </c>
      <c r="C928">
        <f>TEXT(B928,"mmm")</f>
        <v/>
      </c>
      <c r="D928">
        <f>MONTH(B928)</f>
        <v/>
      </c>
      <c r="E928">
        <f>ROUNDUP(MONTH(B928)/3,0)</f>
        <v/>
      </c>
      <c r="F928">
        <f>YEAR(B928)</f>
        <v/>
      </c>
    </row>
    <row r="929">
      <c r="A929">
        <f>INT(B929)</f>
        <v/>
      </c>
      <c r="B929" s="37" t="n">
        <v>46585</v>
      </c>
      <c r="C929">
        <f>TEXT(B929,"mmm")</f>
        <v/>
      </c>
      <c r="D929">
        <f>MONTH(B929)</f>
        <v/>
      </c>
      <c r="E929">
        <f>ROUNDUP(MONTH(B929)/3,0)</f>
        <v/>
      </c>
      <c r="F929">
        <f>YEAR(B929)</f>
        <v/>
      </c>
    </row>
    <row r="930">
      <c r="A930">
        <f>INT(B930)</f>
        <v/>
      </c>
      <c r="B930" s="37" t="n">
        <v>46586</v>
      </c>
      <c r="C930">
        <f>TEXT(B930,"mmm")</f>
        <v/>
      </c>
      <c r="D930">
        <f>MONTH(B930)</f>
        <v/>
      </c>
      <c r="E930">
        <f>ROUNDUP(MONTH(B930)/3,0)</f>
        <v/>
      </c>
      <c r="F930">
        <f>YEAR(B930)</f>
        <v/>
      </c>
    </row>
    <row r="931">
      <c r="A931">
        <f>INT(B931)</f>
        <v/>
      </c>
      <c r="B931" s="37" t="n">
        <v>46587</v>
      </c>
      <c r="C931">
        <f>TEXT(B931,"mmm")</f>
        <v/>
      </c>
      <c r="D931">
        <f>MONTH(B931)</f>
        <v/>
      </c>
      <c r="E931">
        <f>ROUNDUP(MONTH(B931)/3,0)</f>
        <v/>
      </c>
      <c r="F931">
        <f>YEAR(B931)</f>
        <v/>
      </c>
    </row>
    <row r="932">
      <c r="A932">
        <f>INT(B932)</f>
        <v/>
      </c>
      <c r="B932" s="37" t="n">
        <v>46588</v>
      </c>
      <c r="C932">
        <f>TEXT(B932,"mmm")</f>
        <v/>
      </c>
      <c r="D932">
        <f>MONTH(B932)</f>
        <v/>
      </c>
      <c r="E932">
        <f>ROUNDUP(MONTH(B932)/3,0)</f>
        <v/>
      </c>
      <c r="F932">
        <f>YEAR(B932)</f>
        <v/>
      </c>
    </row>
    <row r="933">
      <c r="A933">
        <f>INT(B933)</f>
        <v/>
      </c>
      <c r="B933" s="37" t="n">
        <v>46589</v>
      </c>
      <c r="C933">
        <f>TEXT(B933,"mmm")</f>
        <v/>
      </c>
      <c r="D933">
        <f>MONTH(B933)</f>
        <v/>
      </c>
      <c r="E933">
        <f>ROUNDUP(MONTH(B933)/3,0)</f>
        <v/>
      </c>
      <c r="F933">
        <f>YEAR(B933)</f>
        <v/>
      </c>
    </row>
    <row r="934">
      <c r="A934">
        <f>INT(B934)</f>
        <v/>
      </c>
      <c r="B934" s="37" t="n">
        <v>46590</v>
      </c>
      <c r="C934">
        <f>TEXT(B934,"mmm")</f>
        <v/>
      </c>
      <c r="D934">
        <f>MONTH(B934)</f>
        <v/>
      </c>
      <c r="E934">
        <f>ROUNDUP(MONTH(B934)/3,0)</f>
        <v/>
      </c>
      <c r="F934">
        <f>YEAR(B934)</f>
        <v/>
      </c>
    </row>
    <row r="935">
      <c r="A935">
        <f>INT(B935)</f>
        <v/>
      </c>
      <c r="B935" s="37" t="n">
        <v>46591</v>
      </c>
      <c r="C935">
        <f>TEXT(B935,"mmm")</f>
        <v/>
      </c>
      <c r="D935">
        <f>MONTH(B935)</f>
        <v/>
      </c>
      <c r="E935">
        <f>ROUNDUP(MONTH(B935)/3,0)</f>
        <v/>
      </c>
      <c r="F935">
        <f>YEAR(B935)</f>
        <v/>
      </c>
    </row>
    <row r="936">
      <c r="A936">
        <f>INT(B936)</f>
        <v/>
      </c>
      <c r="B936" s="37" t="n">
        <v>46592</v>
      </c>
      <c r="C936">
        <f>TEXT(B936,"mmm")</f>
        <v/>
      </c>
      <c r="D936">
        <f>MONTH(B936)</f>
        <v/>
      </c>
      <c r="E936">
        <f>ROUNDUP(MONTH(B936)/3,0)</f>
        <v/>
      </c>
      <c r="F936">
        <f>YEAR(B936)</f>
        <v/>
      </c>
    </row>
    <row r="937">
      <c r="A937">
        <f>INT(B937)</f>
        <v/>
      </c>
      <c r="B937" s="37" t="n">
        <v>46593</v>
      </c>
      <c r="C937">
        <f>TEXT(B937,"mmm")</f>
        <v/>
      </c>
      <c r="D937">
        <f>MONTH(B937)</f>
        <v/>
      </c>
      <c r="E937">
        <f>ROUNDUP(MONTH(B937)/3,0)</f>
        <v/>
      </c>
      <c r="F937">
        <f>YEAR(B937)</f>
        <v/>
      </c>
    </row>
    <row r="938">
      <c r="A938">
        <f>INT(B938)</f>
        <v/>
      </c>
      <c r="B938" s="37" t="n">
        <v>46594</v>
      </c>
      <c r="C938">
        <f>TEXT(B938,"mmm")</f>
        <v/>
      </c>
      <c r="D938">
        <f>MONTH(B938)</f>
        <v/>
      </c>
      <c r="E938">
        <f>ROUNDUP(MONTH(B938)/3,0)</f>
        <v/>
      </c>
      <c r="F938">
        <f>YEAR(B938)</f>
        <v/>
      </c>
    </row>
    <row r="939">
      <c r="A939">
        <f>INT(B939)</f>
        <v/>
      </c>
      <c r="B939" s="37" t="n">
        <v>46595</v>
      </c>
      <c r="C939">
        <f>TEXT(B939,"mmm")</f>
        <v/>
      </c>
      <c r="D939">
        <f>MONTH(B939)</f>
        <v/>
      </c>
      <c r="E939">
        <f>ROUNDUP(MONTH(B939)/3,0)</f>
        <v/>
      </c>
      <c r="F939">
        <f>YEAR(B939)</f>
        <v/>
      </c>
    </row>
    <row r="940">
      <c r="A940">
        <f>INT(B940)</f>
        <v/>
      </c>
      <c r="B940" s="37" t="n">
        <v>46596</v>
      </c>
      <c r="C940">
        <f>TEXT(B940,"mmm")</f>
        <v/>
      </c>
      <c r="D940">
        <f>MONTH(B940)</f>
        <v/>
      </c>
      <c r="E940">
        <f>ROUNDUP(MONTH(B940)/3,0)</f>
        <v/>
      </c>
      <c r="F940">
        <f>YEAR(B940)</f>
        <v/>
      </c>
    </row>
    <row r="941">
      <c r="A941">
        <f>INT(B941)</f>
        <v/>
      </c>
      <c r="B941" s="37" t="n">
        <v>46597</v>
      </c>
      <c r="C941">
        <f>TEXT(B941,"mmm")</f>
        <v/>
      </c>
      <c r="D941">
        <f>MONTH(B941)</f>
        <v/>
      </c>
      <c r="E941">
        <f>ROUNDUP(MONTH(B941)/3,0)</f>
        <v/>
      </c>
      <c r="F941">
        <f>YEAR(B941)</f>
        <v/>
      </c>
    </row>
    <row r="942">
      <c r="A942">
        <f>INT(B942)</f>
        <v/>
      </c>
      <c r="B942" s="37" t="n">
        <v>46598</v>
      </c>
      <c r="C942">
        <f>TEXT(B942,"mmm")</f>
        <v/>
      </c>
      <c r="D942">
        <f>MONTH(B942)</f>
        <v/>
      </c>
      <c r="E942">
        <f>ROUNDUP(MONTH(B942)/3,0)</f>
        <v/>
      </c>
      <c r="F942">
        <f>YEAR(B942)</f>
        <v/>
      </c>
    </row>
    <row r="943">
      <c r="A943">
        <f>INT(B943)</f>
        <v/>
      </c>
      <c r="B943" s="37" t="n">
        <v>46599</v>
      </c>
      <c r="C943">
        <f>TEXT(B943,"mmm")</f>
        <v/>
      </c>
      <c r="D943">
        <f>MONTH(B943)</f>
        <v/>
      </c>
      <c r="E943">
        <f>ROUNDUP(MONTH(B943)/3,0)</f>
        <v/>
      </c>
      <c r="F943">
        <f>YEAR(B943)</f>
        <v/>
      </c>
    </row>
    <row r="944">
      <c r="A944">
        <f>INT(B944)</f>
        <v/>
      </c>
      <c r="B944" s="37" t="n">
        <v>46600</v>
      </c>
      <c r="C944">
        <f>TEXT(B944,"mmm")</f>
        <v/>
      </c>
      <c r="D944">
        <f>MONTH(B944)</f>
        <v/>
      </c>
      <c r="E944">
        <f>ROUNDUP(MONTH(B944)/3,0)</f>
        <v/>
      </c>
      <c r="F944">
        <f>YEAR(B944)</f>
        <v/>
      </c>
    </row>
    <row r="945">
      <c r="A945">
        <f>INT(B945)</f>
        <v/>
      </c>
      <c r="B945" s="37" t="n">
        <v>46601</v>
      </c>
      <c r="C945">
        <f>TEXT(B945,"mmm")</f>
        <v/>
      </c>
      <c r="D945">
        <f>MONTH(B945)</f>
        <v/>
      </c>
      <c r="E945">
        <f>ROUNDUP(MONTH(B945)/3,0)</f>
        <v/>
      </c>
      <c r="F945">
        <f>YEAR(B945)</f>
        <v/>
      </c>
    </row>
    <row r="946">
      <c r="A946">
        <f>INT(B946)</f>
        <v/>
      </c>
      <c r="B946" s="37" t="n">
        <v>46602</v>
      </c>
      <c r="C946">
        <f>TEXT(B946,"mmm")</f>
        <v/>
      </c>
      <c r="D946">
        <f>MONTH(B946)</f>
        <v/>
      </c>
      <c r="E946">
        <f>ROUNDUP(MONTH(B946)/3,0)</f>
        <v/>
      </c>
      <c r="F946">
        <f>YEAR(B946)</f>
        <v/>
      </c>
    </row>
    <row r="947">
      <c r="A947">
        <f>INT(B947)</f>
        <v/>
      </c>
      <c r="B947" s="37" t="n">
        <v>46603</v>
      </c>
      <c r="C947">
        <f>TEXT(B947,"mmm")</f>
        <v/>
      </c>
      <c r="D947">
        <f>MONTH(B947)</f>
        <v/>
      </c>
      <c r="E947">
        <f>ROUNDUP(MONTH(B947)/3,0)</f>
        <v/>
      </c>
      <c r="F947">
        <f>YEAR(B947)</f>
        <v/>
      </c>
    </row>
    <row r="948">
      <c r="A948">
        <f>INT(B948)</f>
        <v/>
      </c>
      <c r="B948" s="37" t="n">
        <v>46604</v>
      </c>
      <c r="C948">
        <f>TEXT(B948,"mmm")</f>
        <v/>
      </c>
      <c r="D948">
        <f>MONTH(B948)</f>
        <v/>
      </c>
      <c r="E948">
        <f>ROUNDUP(MONTH(B948)/3,0)</f>
        <v/>
      </c>
      <c r="F948">
        <f>YEAR(B948)</f>
        <v/>
      </c>
    </row>
    <row r="949">
      <c r="A949">
        <f>INT(B949)</f>
        <v/>
      </c>
      <c r="B949" s="37" t="n">
        <v>46605</v>
      </c>
      <c r="C949">
        <f>TEXT(B949,"mmm")</f>
        <v/>
      </c>
      <c r="D949">
        <f>MONTH(B949)</f>
        <v/>
      </c>
      <c r="E949">
        <f>ROUNDUP(MONTH(B949)/3,0)</f>
        <v/>
      </c>
      <c r="F949">
        <f>YEAR(B949)</f>
        <v/>
      </c>
    </row>
    <row r="950">
      <c r="A950">
        <f>INT(B950)</f>
        <v/>
      </c>
      <c r="B950" s="37" t="n">
        <v>46606</v>
      </c>
      <c r="C950">
        <f>TEXT(B950,"mmm")</f>
        <v/>
      </c>
      <c r="D950">
        <f>MONTH(B950)</f>
        <v/>
      </c>
      <c r="E950">
        <f>ROUNDUP(MONTH(B950)/3,0)</f>
        <v/>
      </c>
      <c r="F950">
        <f>YEAR(B950)</f>
        <v/>
      </c>
    </row>
    <row r="951">
      <c r="A951">
        <f>INT(B951)</f>
        <v/>
      </c>
      <c r="B951" s="37" t="n">
        <v>46607</v>
      </c>
      <c r="C951">
        <f>TEXT(B951,"mmm")</f>
        <v/>
      </c>
      <c r="D951">
        <f>MONTH(B951)</f>
        <v/>
      </c>
      <c r="E951">
        <f>ROUNDUP(MONTH(B951)/3,0)</f>
        <v/>
      </c>
      <c r="F951">
        <f>YEAR(B951)</f>
        <v/>
      </c>
    </row>
    <row r="952">
      <c r="A952">
        <f>INT(B952)</f>
        <v/>
      </c>
      <c r="B952" s="37" t="n">
        <v>46608</v>
      </c>
      <c r="C952">
        <f>TEXT(B952,"mmm")</f>
        <v/>
      </c>
      <c r="D952">
        <f>MONTH(B952)</f>
        <v/>
      </c>
      <c r="E952">
        <f>ROUNDUP(MONTH(B952)/3,0)</f>
        <v/>
      </c>
      <c r="F952">
        <f>YEAR(B952)</f>
        <v/>
      </c>
    </row>
    <row r="953">
      <c r="A953">
        <f>INT(B953)</f>
        <v/>
      </c>
      <c r="B953" s="37" t="n">
        <v>46609</v>
      </c>
      <c r="C953">
        <f>TEXT(B953,"mmm")</f>
        <v/>
      </c>
      <c r="D953">
        <f>MONTH(B953)</f>
        <v/>
      </c>
      <c r="E953">
        <f>ROUNDUP(MONTH(B953)/3,0)</f>
        <v/>
      </c>
      <c r="F953">
        <f>YEAR(B953)</f>
        <v/>
      </c>
    </row>
    <row r="954">
      <c r="A954">
        <f>INT(B954)</f>
        <v/>
      </c>
      <c r="B954" s="37" t="n">
        <v>46610</v>
      </c>
      <c r="C954">
        <f>TEXT(B954,"mmm")</f>
        <v/>
      </c>
      <c r="D954">
        <f>MONTH(B954)</f>
        <v/>
      </c>
      <c r="E954">
        <f>ROUNDUP(MONTH(B954)/3,0)</f>
        <v/>
      </c>
      <c r="F954">
        <f>YEAR(B954)</f>
        <v/>
      </c>
    </row>
    <row r="955">
      <c r="A955">
        <f>INT(B955)</f>
        <v/>
      </c>
      <c r="B955" s="37" t="n">
        <v>46611</v>
      </c>
      <c r="C955">
        <f>TEXT(B955,"mmm")</f>
        <v/>
      </c>
      <c r="D955">
        <f>MONTH(B955)</f>
        <v/>
      </c>
      <c r="E955">
        <f>ROUNDUP(MONTH(B955)/3,0)</f>
        <v/>
      </c>
      <c r="F955">
        <f>YEAR(B955)</f>
        <v/>
      </c>
    </row>
    <row r="956">
      <c r="A956">
        <f>INT(B956)</f>
        <v/>
      </c>
      <c r="B956" s="37" t="n">
        <v>46612</v>
      </c>
      <c r="C956">
        <f>TEXT(B956,"mmm")</f>
        <v/>
      </c>
      <c r="D956">
        <f>MONTH(B956)</f>
        <v/>
      </c>
      <c r="E956">
        <f>ROUNDUP(MONTH(B956)/3,0)</f>
        <v/>
      </c>
      <c r="F956">
        <f>YEAR(B956)</f>
        <v/>
      </c>
    </row>
    <row r="957">
      <c r="A957">
        <f>INT(B957)</f>
        <v/>
      </c>
      <c r="B957" s="37" t="n">
        <v>46613</v>
      </c>
      <c r="C957">
        <f>TEXT(B957,"mmm")</f>
        <v/>
      </c>
      <c r="D957">
        <f>MONTH(B957)</f>
        <v/>
      </c>
      <c r="E957">
        <f>ROUNDUP(MONTH(B957)/3,0)</f>
        <v/>
      </c>
      <c r="F957">
        <f>YEAR(B957)</f>
        <v/>
      </c>
    </row>
    <row r="958">
      <c r="A958">
        <f>INT(B958)</f>
        <v/>
      </c>
      <c r="B958" s="37" t="n">
        <v>46614</v>
      </c>
      <c r="C958">
        <f>TEXT(B958,"mmm")</f>
        <v/>
      </c>
      <c r="D958">
        <f>MONTH(B958)</f>
        <v/>
      </c>
      <c r="E958">
        <f>ROUNDUP(MONTH(B958)/3,0)</f>
        <v/>
      </c>
      <c r="F958">
        <f>YEAR(B958)</f>
        <v/>
      </c>
    </row>
    <row r="959">
      <c r="A959">
        <f>INT(B959)</f>
        <v/>
      </c>
      <c r="B959" s="37" t="n">
        <v>46615</v>
      </c>
      <c r="C959">
        <f>TEXT(B959,"mmm")</f>
        <v/>
      </c>
      <c r="D959">
        <f>MONTH(B959)</f>
        <v/>
      </c>
      <c r="E959">
        <f>ROUNDUP(MONTH(B959)/3,0)</f>
        <v/>
      </c>
      <c r="F959">
        <f>YEAR(B959)</f>
        <v/>
      </c>
    </row>
    <row r="960">
      <c r="A960">
        <f>INT(B960)</f>
        <v/>
      </c>
      <c r="B960" s="37" t="n">
        <v>46616</v>
      </c>
      <c r="C960">
        <f>TEXT(B960,"mmm")</f>
        <v/>
      </c>
      <c r="D960">
        <f>MONTH(B960)</f>
        <v/>
      </c>
      <c r="E960">
        <f>ROUNDUP(MONTH(B960)/3,0)</f>
        <v/>
      </c>
      <c r="F960">
        <f>YEAR(B960)</f>
        <v/>
      </c>
    </row>
    <row r="961">
      <c r="A961">
        <f>INT(B961)</f>
        <v/>
      </c>
      <c r="B961" s="37" t="n">
        <v>46617</v>
      </c>
      <c r="C961">
        <f>TEXT(B961,"mmm")</f>
        <v/>
      </c>
      <c r="D961">
        <f>MONTH(B961)</f>
        <v/>
      </c>
      <c r="E961">
        <f>ROUNDUP(MONTH(B961)/3,0)</f>
        <v/>
      </c>
      <c r="F961">
        <f>YEAR(B961)</f>
        <v/>
      </c>
    </row>
    <row r="962">
      <c r="A962">
        <f>INT(B962)</f>
        <v/>
      </c>
      <c r="B962" s="37" t="n">
        <v>46618</v>
      </c>
      <c r="C962">
        <f>TEXT(B962,"mmm")</f>
        <v/>
      </c>
      <c r="D962">
        <f>MONTH(B962)</f>
        <v/>
      </c>
      <c r="E962">
        <f>ROUNDUP(MONTH(B962)/3,0)</f>
        <v/>
      </c>
      <c r="F962">
        <f>YEAR(B962)</f>
        <v/>
      </c>
    </row>
    <row r="963">
      <c r="A963">
        <f>INT(B963)</f>
        <v/>
      </c>
      <c r="B963" s="37" t="n">
        <v>46619</v>
      </c>
      <c r="C963">
        <f>TEXT(B963,"mmm")</f>
        <v/>
      </c>
      <c r="D963">
        <f>MONTH(B963)</f>
        <v/>
      </c>
      <c r="E963">
        <f>ROUNDUP(MONTH(B963)/3,0)</f>
        <v/>
      </c>
      <c r="F963">
        <f>YEAR(B963)</f>
        <v/>
      </c>
    </row>
    <row r="964">
      <c r="A964">
        <f>INT(B964)</f>
        <v/>
      </c>
      <c r="B964" s="37" t="n">
        <v>46620</v>
      </c>
      <c r="C964">
        <f>TEXT(B964,"mmm")</f>
        <v/>
      </c>
      <c r="D964">
        <f>MONTH(B964)</f>
        <v/>
      </c>
      <c r="E964">
        <f>ROUNDUP(MONTH(B964)/3,0)</f>
        <v/>
      </c>
      <c r="F964">
        <f>YEAR(B964)</f>
        <v/>
      </c>
    </row>
    <row r="965">
      <c r="A965">
        <f>INT(B965)</f>
        <v/>
      </c>
      <c r="B965" s="37" t="n">
        <v>46621</v>
      </c>
      <c r="C965">
        <f>TEXT(B965,"mmm")</f>
        <v/>
      </c>
      <c r="D965">
        <f>MONTH(B965)</f>
        <v/>
      </c>
      <c r="E965">
        <f>ROUNDUP(MONTH(B965)/3,0)</f>
        <v/>
      </c>
      <c r="F965">
        <f>YEAR(B965)</f>
        <v/>
      </c>
    </row>
    <row r="966">
      <c r="A966">
        <f>INT(B966)</f>
        <v/>
      </c>
      <c r="B966" s="37" t="n">
        <v>46622</v>
      </c>
      <c r="C966">
        <f>TEXT(B966,"mmm")</f>
        <v/>
      </c>
      <c r="D966">
        <f>MONTH(B966)</f>
        <v/>
      </c>
      <c r="E966">
        <f>ROUNDUP(MONTH(B966)/3,0)</f>
        <v/>
      </c>
      <c r="F966">
        <f>YEAR(B966)</f>
        <v/>
      </c>
    </row>
    <row r="967">
      <c r="A967">
        <f>INT(B967)</f>
        <v/>
      </c>
      <c r="B967" s="37" t="n">
        <v>46623</v>
      </c>
      <c r="C967">
        <f>TEXT(B967,"mmm")</f>
        <v/>
      </c>
      <c r="D967">
        <f>MONTH(B967)</f>
        <v/>
      </c>
      <c r="E967">
        <f>ROUNDUP(MONTH(B967)/3,0)</f>
        <v/>
      </c>
      <c r="F967">
        <f>YEAR(B967)</f>
        <v/>
      </c>
    </row>
    <row r="968">
      <c r="A968">
        <f>INT(B968)</f>
        <v/>
      </c>
      <c r="B968" s="37" t="n">
        <v>46624</v>
      </c>
      <c r="C968">
        <f>TEXT(B968,"mmm")</f>
        <v/>
      </c>
      <c r="D968">
        <f>MONTH(B968)</f>
        <v/>
      </c>
      <c r="E968">
        <f>ROUNDUP(MONTH(B968)/3,0)</f>
        <v/>
      </c>
      <c r="F968">
        <f>YEAR(B968)</f>
        <v/>
      </c>
    </row>
    <row r="969">
      <c r="A969">
        <f>INT(B969)</f>
        <v/>
      </c>
      <c r="B969" s="37" t="n">
        <v>46625</v>
      </c>
      <c r="C969">
        <f>TEXT(B969,"mmm")</f>
        <v/>
      </c>
      <c r="D969">
        <f>MONTH(B969)</f>
        <v/>
      </c>
      <c r="E969">
        <f>ROUNDUP(MONTH(B969)/3,0)</f>
        <v/>
      </c>
      <c r="F969">
        <f>YEAR(B969)</f>
        <v/>
      </c>
    </row>
    <row r="970">
      <c r="A970">
        <f>INT(B970)</f>
        <v/>
      </c>
      <c r="B970" s="37" t="n">
        <v>46626</v>
      </c>
      <c r="C970">
        <f>TEXT(B970,"mmm")</f>
        <v/>
      </c>
      <c r="D970">
        <f>MONTH(B970)</f>
        <v/>
      </c>
      <c r="E970">
        <f>ROUNDUP(MONTH(B970)/3,0)</f>
        <v/>
      </c>
      <c r="F970">
        <f>YEAR(B970)</f>
        <v/>
      </c>
    </row>
    <row r="971">
      <c r="A971">
        <f>INT(B971)</f>
        <v/>
      </c>
      <c r="B971" s="37" t="n">
        <v>46627</v>
      </c>
      <c r="C971">
        <f>TEXT(B971,"mmm")</f>
        <v/>
      </c>
      <c r="D971">
        <f>MONTH(B971)</f>
        <v/>
      </c>
      <c r="E971">
        <f>ROUNDUP(MONTH(B971)/3,0)</f>
        <v/>
      </c>
      <c r="F971">
        <f>YEAR(B971)</f>
        <v/>
      </c>
    </row>
    <row r="972">
      <c r="A972">
        <f>INT(B972)</f>
        <v/>
      </c>
      <c r="B972" s="37" t="n">
        <v>46628</v>
      </c>
      <c r="C972">
        <f>TEXT(B972,"mmm")</f>
        <v/>
      </c>
      <c r="D972">
        <f>MONTH(B972)</f>
        <v/>
      </c>
      <c r="E972">
        <f>ROUNDUP(MONTH(B972)/3,0)</f>
        <v/>
      </c>
      <c r="F972">
        <f>YEAR(B972)</f>
        <v/>
      </c>
    </row>
    <row r="973">
      <c r="A973">
        <f>INT(B973)</f>
        <v/>
      </c>
      <c r="B973" s="37" t="n">
        <v>46629</v>
      </c>
      <c r="C973">
        <f>TEXT(B973,"mmm")</f>
        <v/>
      </c>
      <c r="D973">
        <f>MONTH(B973)</f>
        <v/>
      </c>
      <c r="E973">
        <f>ROUNDUP(MONTH(B973)/3,0)</f>
        <v/>
      </c>
      <c r="F973">
        <f>YEAR(B973)</f>
        <v/>
      </c>
    </row>
    <row r="974">
      <c r="A974">
        <f>INT(B974)</f>
        <v/>
      </c>
      <c r="B974" s="37" t="n">
        <v>46630</v>
      </c>
      <c r="C974">
        <f>TEXT(B974,"mmm")</f>
        <v/>
      </c>
      <c r="D974">
        <f>MONTH(B974)</f>
        <v/>
      </c>
      <c r="E974">
        <f>ROUNDUP(MONTH(B974)/3,0)</f>
        <v/>
      </c>
      <c r="F974">
        <f>YEAR(B974)</f>
        <v/>
      </c>
    </row>
    <row r="975">
      <c r="A975">
        <f>INT(B975)</f>
        <v/>
      </c>
      <c r="B975" s="37" t="n">
        <v>46631</v>
      </c>
      <c r="C975">
        <f>TEXT(B975,"mmm")</f>
        <v/>
      </c>
      <c r="D975">
        <f>MONTH(B975)</f>
        <v/>
      </c>
      <c r="E975">
        <f>ROUNDUP(MONTH(B975)/3,0)</f>
        <v/>
      </c>
      <c r="F975">
        <f>YEAR(B975)</f>
        <v/>
      </c>
    </row>
    <row r="976">
      <c r="A976">
        <f>INT(B976)</f>
        <v/>
      </c>
      <c r="B976" s="37" t="n">
        <v>46632</v>
      </c>
      <c r="C976">
        <f>TEXT(B976,"mmm")</f>
        <v/>
      </c>
      <c r="D976">
        <f>MONTH(B976)</f>
        <v/>
      </c>
      <c r="E976">
        <f>ROUNDUP(MONTH(B976)/3,0)</f>
        <v/>
      </c>
      <c r="F976">
        <f>YEAR(B976)</f>
        <v/>
      </c>
    </row>
    <row r="977">
      <c r="A977">
        <f>INT(B977)</f>
        <v/>
      </c>
      <c r="B977" s="37" t="n">
        <v>46633</v>
      </c>
      <c r="C977">
        <f>TEXT(B977,"mmm")</f>
        <v/>
      </c>
      <c r="D977">
        <f>MONTH(B977)</f>
        <v/>
      </c>
      <c r="E977">
        <f>ROUNDUP(MONTH(B977)/3,0)</f>
        <v/>
      </c>
      <c r="F977">
        <f>YEAR(B977)</f>
        <v/>
      </c>
    </row>
    <row r="978">
      <c r="A978">
        <f>INT(B978)</f>
        <v/>
      </c>
      <c r="B978" s="37" t="n">
        <v>46634</v>
      </c>
      <c r="C978">
        <f>TEXT(B978,"mmm")</f>
        <v/>
      </c>
      <c r="D978">
        <f>MONTH(B978)</f>
        <v/>
      </c>
      <c r="E978">
        <f>ROUNDUP(MONTH(B978)/3,0)</f>
        <v/>
      </c>
      <c r="F978">
        <f>YEAR(B978)</f>
        <v/>
      </c>
    </row>
    <row r="979">
      <c r="A979">
        <f>INT(B979)</f>
        <v/>
      </c>
      <c r="B979" s="37" t="n">
        <v>46635</v>
      </c>
      <c r="C979">
        <f>TEXT(B979,"mmm")</f>
        <v/>
      </c>
      <c r="D979">
        <f>MONTH(B979)</f>
        <v/>
      </c>
      <c r="E979">
        <f>ROUNDUP(MONTH(B979)/3,0)</f>
        <v/>
      </c>
      <c r="F979">
        <f>YEAR(B979)</f>
        <v/>
      </c>
    </row>
    <row r="980">
      <c r="A980">
        <f>INT(B980)</f>
        <v/>
      </c>
      <c r="B980" s="37" t="n">
        <v>46636</v>
      </c>
      <c r="C980">
        <f>TEXT(B980,"mmm")</f>
        <v/>
      </c>
      <c r="D980">
        <f>MONTH(B980)</f>
        <v/>
      </c>
      <c r="E980">
        <f>ROUNDUP(MONTH(B980)/3,0)</f>
        <v/>
      </c>
      <c r="F980">
        <f>YEAR(B980)</f>
        <v/>
      </c>
    </row>
    <row r="981">
      <c r="A981">
        <f>INT(B981)</f>
        <v/>
      </c>
      <c r="B981" s="37" t="n">
        <v>46637</v>
      </c>
      <c r="C981">
        <f>TEXT(B981,"mmm")</f>
        <v/>
      </c>
      <c r="D981">
        <f>MONTH(B981)</f>
        <v/>
      </c>
      <c r="E981">
        <f>ROUNDUP(MONTH(B981)/3,0)</f>
        <v/>
      </c>
      <c r="F981">
        <f>YEAR(B981)</f>
        <v/>
      </c>
    </row>
    <row r="982">
      <c r="A982">
        <f>INT(B982)</f>
        <v/>
      </c>
      <c r="B982" s="37" t="n">
        <v>46638</v>
      </c>
      <c r="C982">
        <f>TEXT(B982,"mmm")</f>
        <v/>
      </c>
      <c r="D982">
        <f>MONTH(B982)</f>
        <v/>
      </c>
      <c r="E982">
        <f>ROUNDUP(MONTH(B982)/3,0)</f>
        <v/>
      </c>
      <c r="F982">
        <f>YEAR(B982)</f>
        <v/>
      </c>
    </row>
    <row r="983">
      <c r="A983">
        <f>INT(B983)</f>
        <v/>
      </c>
      <c r="B983" s="37" t="n">
        <v>46639</v>
      </c>
      <c r="C983">
        <f>TEXT(B983,"mmm")</f>
        <v/>
      </c>
      <c r="D983">
        <f>MONTH(B983)</f>
        <v/>
      </c>
      <c r="E983">
        <f>ROUNDUP(MONTH(B983)/3,0)</f>
        <v/>
      </c>
      <c r="F983">
        <f>YEAR(B983)</f>
        <v/>
      </c>
    </row>
    <row r="984">
      <c r="A984">
        <f>INT(B984)</f>
        <v/>
      </c>
      <c r="B984" s="37" t="n">
        <v>46640</v>
      </c>
      <c r="C984">
        <f>TEXT(B984,"mmm")</f>
        <v/>
      </c>
      <c r="D984">
        <f>MONTH(B984)</f>
        <v/>
      </c>
      <c r="E984">
        <f>ROUNDUP(MONTH(B984)/3,0)</f>
        <v/>
      </c>
      <c r="F984">
        <f>YEAR(B984)</f>
        <v/>
      </c>
    </row>
    <row r="985">
      <c r="A985">
        <f>INT(B985)</f>
        <v/>
      </c>
      <c r="B985" s="37" t="n">
        <v>46641</v>
      </c>
      <c r="C985">
        <f>TEXT(B985,"mmm")</f>
        <v/>
      </c>
      <c r="D985">
        <f>MONTH(B985)</f>
        <v/>
      </c>
      <c r="E985">
        <f>ROUNDUP(MONTH(B985)/3,0)</f>
        <v/>
      </c>
      <c r="F985">
        <f>YEAR(B985)</f>
        <v/>
      </c>
    </row>
    <row r="986">
      <c r="A986">
        <f>INT(B986)</f>
        <v/>
      </c>
      <c r="B986" s="37" t="n">
        <v>46642</v>
      </c>
      <c r="C986">
        <f>TEXT(B986,"mmm")</f>
        <v/>
      </c>
      <c r="D986">
        <f>MONTH(B986)</f>
        <v/>
      </c>
      <c r="E986">
        <f>ROUNDUP(MONTH(B986)/3,0)</f>
        <v/>
      </c>
      <c r="F986">
        <f>YEAR(B986)</f>
        <v/>
      </c>
    </row>
    <row r="987">
      <c r="A987">
        <f>INT(B987)</f>
        <v/>
      </c>
      <c r="B987" s="37" t="n">
        <v>46643</v>
      </c>
      <c r="C987">
        <f>TEXT(B987,"mmm")</f>
        <v/>
      </c>
      <c r="D987">
        <f>MONTH(B987)</f>
        <v/>
      </c>
      <c r="E987">
        <f>ROUNDUP(MONTH(B987)/3,0)</f>
        <v/>
      </c>
      <c r="F987">
        <f>YEAR(B987)</f>
        <v/>
      </c>
    </row>
    <row r="988">
      <c r="A988">
        <f>INT(B988)</f>
        <v/>
      </c>
      <c r="B988" s="37" t="n">
        <v>46644</v>
      </c>
      <c r="C988">
        <f>TEXT(B988,"mmm")</f>
        <v/>
      </c>
      <c r="D988">
        <f>MONTH(B988)</f>
        <v/>
      </c>
      <c r="E988">
        <f>ROUNDUP(MONTH(B988)/3,0)</f>
        <v/>
      </c>
      <c r="F988">
        <f>YEAR(B988)</f>
        <v/>
      </c>
    </row>
    <row r="989">
      <c r="A989">
        <f>INT(B989)</f>
        <v/>
      </c>
      <c r="B989" s="37" t="n">
        <v>46645</v>
      </c>
      <c r="C989">
        <f>TEXT(B989,"mmm")</f>
        <v/>
      </c>
      <c r="D989">
        <f>MONTH(B989)</f>
        <v/>
      </c>
      <c r="E989">
        <f>ROUNDUP(MONTH(B989)/3,0)</f>
        <v/>
      </c>
      <c r="F989">
        <f>YEAR(B989)</f>
        <v/>
      </c>
    </row>
    <row r="990">
      <c r="A990">
        <f>INT(B990)</f>
        <v/>
      </c>
      <c r="B990" s="37" t="n">
        <v>46646</v>
      </c>
      <c r="C990">
        <f>TEXT(B990,"mmm")</f>
        <v/>
      </c>
      <c r="D990">
        <f>MONTH(B990)</f>
        <v/>
      </c>
      <c r="E990">
        <f>ROUNDUP(MONTH(B990)/3,0)</f>
        <v/>
      </c>
      <c r="F990">
        <f>YEAR(B990)</f>
        <v/>
      </c>
    </row>
    <row r="991">
      <c r="A991">
        <f>INT(B991)</f>
        <v/>
      </c>
      <c r="B991" s="37" t="n">
        <v>46647</v>
      </c>
      <c r="C991">
        <f>TEXT(B991,"mmm")</f>
        <v/>
      </c>
      <c r="D991">
        <f>MONTH(B991)</f>
        <v/>
      </c>
      <c r="E991">
        <f>ROUNDUP(MONTH(B991)/3,0)</f>
        <v/>
      </c>
      <c r="F991">
        <f>YEAR(B991)</f>
        <v/>
      </c>
    </row>
    <row r="992">
      <c r="A992">
        <f>INT(B992)</f>
        <v/>
      </c>
      <c r="B992" s="37" t="n">
        <v>46648</v>
      </c>
      <c r="C992">
        <f>TEXT(B992,"mmm")</f>
        <v/>
      </c>
      <c r="D992">
        <f>MONTH(B992)</f>
        <v/>
      </c>
      <c r="E992">
        <f>ROUNDUP(MONTH(B992)/3,0)</f>
        <v/>
      </c>
      <c r="F992">
        <f>YEAR(B992)</f>
        <v/>
      </c>
    </row>
    <row r="993">
      <c r="A993">
        <f>INT(B993)</f>
        <v/>
      </c>
      <c r="B993" s="37" t="n">
        <v>46649</v>
      </c>
      <c r="C993">
        <f>TEXT(B993,"mmm")</f>
        <v/>
      </c>
      <c r="D993">
        <f>MONTH(B993)</f>
        <v/>
      </c>
      <c r="E993">
        <f>ROUNDUP(MONTH(B993)/3,0)</f>
        <v/>
      </c>
      <c r="F993">
        <f>YEAR(B993)</f>
        <v/>
      </c>
    </row>
    <row r="994">
      <c r="A994">
        <f>INT(B994)</f>
        <v/>
      </c>
      <c r="B994" s="37" t="n">
        <v>46650</v>
      </c>
      <c r="C994">
        <f>TEXT(B994,"mmm")</f>
        <v/>
      </c>
      <c r="D994">
        <f>MONTH(B994)</f>
        <v/>
      </c>
      <c r="E994">
        <f>ROUNDUP(MONTH(B994)/3,0)</f>
        <v/>
      </c>
      <c r="F994">
        <f>YEAR(B994)</f>
        <v/>
      </c>
    </row>
    <row r="995">
      <c r="A995">
        <f>INT(B995)</f>
        <v/>
      </c>
      <c r="B995" s="37" t="n">
        <v>46651</v>
      </c>
      <c r="C995">
        <f>TEXT(B995,"mmm")</f>
        <v/>
      </c>
      <c r="D995">
        <f>MONTH(B995)</f>
        <v/>
      </c>
      <c r="E995">
        <f>ROUNDUP(MONTH(B995)/3,0)</f>
        <v/>
      </c>
      <c r="F995">
        <f>YEAR(B995)</f>
        <v/>
      </c>
    </row>
    <row r="996">
      <c r="A996">
        <f>INT(B996)</f>
        <v/>
      </c>
      <c r="B996" s="37" t="n">
        <v>46652</v>
      </c>
      <c r="C996">
        <f>TEXT(B996,"mmm")</f>
        <v/>
      </c>
      <c r="D996">
        <f>MONTH(B996)</f>
        <v/>
      </c>
      <c r="E996">
        <f>ROUNDUP(MONTH(B996)/3,0)</f>
        <v/>
      </c>
      <c r="F996">
        <f>YEAR(B996)</f>
        <v/>
      </c>
    </row>
    <row r="997">
      <c r="A997">
        <f>INT(B997)</f>
        <v/>
      </c>
      <c r="B997" s="37" t="n">
        <v>46653</v>
      </c>
      <c r="C997">
        <f>TEXT(B997,"mmm")</f>
        <v/>
      </c>
      <c r="D997">
        <f>MONTH(B997)</f>
        <v/>
      </c>
      <c r="E997">
        <f>ROUNDUP(MONTH(B997)/3,0)</f>
        <v/>
      </c>
      <c r="F997">
        <f>YEAR(B997)</f>
        <v/>
      </c>
    </row>
    <row r="998">
      <c r="A998">
        <f>INT(B998)</f>
        <v/>
      </c>
      <c r="B998" s="37" t="n">
        <v>46654</v>
      </c>
      <c r="C998">
        <f>TEXT(B998,"mmm")</f>
        <v/>
      </c>
      <c r="D998">
        <f>MONTH(B998)</f>
        <v/>
      </c>
      <c r="E998">
        <f>ROUNDUP(MONTH(B998)/3,0)</f>
        <v/>
      </c>
      <c r="F998">
        <f>YEAR(B998)</f>
        <v/>
      </c>
    </row>
    <row r="999">
      <c r="A999">
        <f>INT(B999)</f>
        <v/>
      </c>
      <c r="B999" s="37" t="n">
        <v>46655</v>
      </c>
      <c r="C999">
        <f>TEXT(B999,"mmm")</f>
        <v/>
      </c>
      <c r="D999">
        <f>MONTH(B999)</f>
        <v/>
      </c>
      <c r="E999">
        <f>ROUNDUP(MONTH(B999)/3,0)</f>
        <v/>
      </c>
      <c r="F999">
        <f>YEAR(B999)</f>
        <v/>
      </c>
    </row>
    <row r="1000">
      <c r="A1000">
        <f>INT(B1000)</f>
        <v/>
      </c>
      <c r="B1000" s="37" t="n">
        <v>46656</v>
      </c>
      <c r="C1000">
        <f>TEXT(B1000,"mmm")</f>
        <v/>
      </c>
      <c r="D1000">
        <f>MONTH(B1000)</f>
        <v/>
      </c>
      <c r="E1000">
        <f>ROUNDUP(MONTH(B1000)/3,0)</f>
        <v/>
      </c>
      <c r="F1000">
        <f>YEAR(B1000)</f>
        <v/>
      </c>
    </row>
    <row r="1001">
      <c r="A1001">
        <f>INT(B1001)</f>
        <v/>
      </c>
      <c r="B1001" s="37" t="n">
        <v>46657</v>
      </c>
      <c r="C1001">
        <f>TEXT(B1001,"mmm")</f>
        <v/>
      </c>
      <c r="D1001">
        <f>MONTH(B1001)</f>
        <v/>
      </c>
      <c r="E1001">
        <f>ROUNDUP(MONTH(B1001)/3,0)</f>
        <v/>
      </c>
      <c r="F1001">
        <f>YEAR(B1001)</f>
        <v/>
      </c>
    </row>
    <row r="1002">
      <c r="A1002">
        <f>INT(B1002)</f>
        <v/>
      </c>
      <c r="B1002" s="37" t="n">
        <v>46658</v>
      </c>
      <c r="C1002">
        <f>TEXT(B1002,"mmm")</f>
        <v/>
      </c>
      <c r="D1002">
        <f>MONTH(B1002)</f>
        <v/>
      </c>
      <c r="E1002">
        <f>ROUNDUP(MONTH(B1002)/3,0)</f>
        <v/>
      </c>
      <c r="F1002">
        <f>YEAR(B1002)</f>
        <v/>
      </c>
    </row>
    <row r="1003">
      <c r="A1003">
        <f>INT(B1003)</f>
        <v/>
      </c>
      <c r="B1003" s="37" t="n">
        <v>46659</v>
      </c>
      <c r="C1003">
        <f>TEXT(B1003,"mmm")</f>
        <v/>
      </c>
      <c r="D1003">
        <f>MONTH(B1003)</f>
        <v/>
      </c>
      <c r="E1003">
        <f>ROUNDUP(MONTH(B1003)/3,0)</f>
        <v/>
      </c>
      <c r="F1003">
        <f>YEAR(B1003)</f>
        <v/>
      </c>
    </row>
    <row r="1004">
      <c r="A1004">
        <f>INT(B1004)</f>
        <v/>
      </c>
      <c r="B1004" s="37" t="n">
        <v>46660</v>
      </c>
      <c r="C1004">
        <f>TEXT(B1004,"mmm")</f>
        <v/>
      </c>
      <c r="D1004">
        <f>MONTH(B1004)</f>
        <v/>
      </c>
      <c r="E1004">
        <f>ROUNDUP(MONTH(B1004)/3,0)</f>
        <v/>
      </c>
      <c r="F1004">
        <f>YEAR(B1004)</f>
        <v/>
      </c>
    </row>
    <row r="1005">
      <c r="A1005">
        <f>INT(B1005)</f>
        <v/>
      </c>
      <c r="B1005" s="37" t="n">
        <v>46661</v>
      </c>
      <c r="C1005">
        <f>TEXT(B1005,"mmm")</f>
        <v/>
      </c>
      <c r="D1005">
        <f>MONTH(B1005)</f>
        <v/>
      </c>
      <c r="E1005">
        <f>ROUNDUP(MONTH(B1005)/3,0)</f>
        <v/>
      </c>
      <c r="F1005">
        <f>YEAR(B1005)</f>
        <v/>
      </c>
    </row>
    <row r="1006">
      <c r="A1006">
        <f>INT(B1006)</f>
        <v/>
      </c>
      <c r="B1006" s="37" t="n">
        <v>46662</v>
      </c>
      <c r="C1006">
        <f>TEXT(B1006,"mmm")</f>
        <v/>
      </c>
      <c r="D1006">
        <f>MONTH(B1006)</f>
        <v/>
      </c>
      <c r="E1006">
        <f>ROUNDUP(MONTH(B1006)/3,0)</f>
        <v/>
      </c>
      <c r="F1006">
        <f>YEAR(B1006)</f>
        <v/>
      </c>
    </row>
    <row r="1007">
      <c r="A1007">
        <f>INT(B1007)</f>
        <v/>
      </c>
      <c r="B1007" s="37" t="n">
        <v>46663</v>
      </c>
      <c r="C1007">
        <f>TEXT(B1007,"mmm")</f>
        <v/>
      </c>
      <c r="D1007">
        <f>MONTH(B1007)</f>
        <v/>
      </c>
      <c r="E1007">
        <f>ROUNDUP(MONTH(B1007)/3,0)</f>
        <v/>
      </c>
      <c r="F1007">
        <f>YEAR(B1007)</f>
        <v/>
      </c>
    </row>
    <row r="1008">
      <c r="A1008">
        <f>INT(B1008)</f>
        <v/>
      </c>
      <c r="B1008" s="37" t="n">
        <v>46664</v>
      </c>
      <c r="C1008">
        <f>TEXT(B1008,"mmm")</f>
        <v/>
      </c>
      <c r="D1008">
        <f>MONTH(B1008)</f>
        <v/>
      </c>
      <c r="E1008">
        <f>ROUNDUP(MONTH(B1008)/3,0)</f>
        <v/>
      </c>
      <c r="F1008">
        <f>YEAR(B1008)</f>
        <v/>
      </c>
    </row>
    <row r="1009">
      <c r="A1009">
        <f>INT(B1009)</f>
        <v/>
      </c>
      <c r="B1009" s="37" t="n">
        <v>46665</v>
      </c>
      <c r="C1009">
        <f>TEXT(B1009,"mmm")</f>
        <v/>
      </c>
      <c r="D1009">
        <f>MONTH(B1009)</f>
        <v/>
      </c>
      <c r="E1009">
        <f>ROUNDUP(MONTH(B1009)/3,0)</f>
        <v/>
      </c>
      <c r="F1009">
        <f>YEAR(B1009)</f>
        <v/>
      </c>
    </row>
    <row r="1010">
      <c r="A1010">
        <f>INT(B1010)</f>
        <v/>
      </c>
      <c r="B1010" s="37" t="n">
        <v>46666</v>
      </c>
      <c r="C1010">
        <f>TEXT(B1010,"mmm")</f>
        <v/>
      </c>
      <c r="D1010">
        <f>MONTH(B1010)</f>
        <v/>
      </c>
      <c r="E1010">
        <f>ROUNDUP(MONTH(B1010)/3,0)</f>
        <v/>
      </c>
      <c r="F1010">
        <f>YEAR(B1010)</f>
        <v/>
      </c>
    </row>
    <row r="1011">
      <c r="A1011">
        <f>INT(B1011)</f>
        <v/>
      </c>
      <c r="B1011" s="37" t="n">
        <v>46667</v>
      </c>
      <c r="C1011">
        <f>TEXT(B1011,"mmm")</f>
        <v/>
      </c>
      <c r="D1011">
        <f>MONTH(B1011)</f>
        <v/>
      </c>
      <c r="E1011">
        <f>ROUNDUP(MONTH(B1011)/3,0)</f>
        <v/>
      </c>
      <c r="F1011">
        <f>YEAR(B1011)</f>
        <v/>
      </c>
    </row>
    <row r="1012">
      <c r="A1012">
        <f>INT(B1012)</f>
        <v/>
      </c>
      <c r="B1012" s="37" t="n">
        <v>46668</v>
      </c>
      <c r="C1012">
        <f>TEXT(B1012,"mmm")</f>
        <v/>
      </c>
      <c r="D1012">
        <f>MONTH(B1012)</f>
        <v/>
      </c>
      <c r="E1012">
        <f>ROUNDUP(MONTH(B1012)/3,0)</f>
        <v/>
      </c>
      <c r="F1012">
        <f>YEAR(B1012)</f>
        <v/>
      </c>
    </row>
    <row r="1013">
      <c r="A1013">
        <f>INT(B1013)</f>
        <v/>
      </c>
      <c r="B1013" s="37" t="n">
        <v>46669</v>
      </c>
      <c r="C1013">
        <f>TEXT(B1013,"mmm")</f>
        <v/>
      </c>
      <c r="D1013">
        <f>MONTH(B1013)</f>
        <v/>
      </c>
      <c r="E1013">
        <f>ROUNDUP(MONTH(B1013)/3,0)</f>
        <v/>
      </c>
      <c r="F1013">
        <f>YEAR(B1013)</f>
        <v/>
      </c>
    </row>
    <row r="1014">
      <c r="A1014">
        <f>INT(B1014)</f>
        <v/>
      </c>
      <c r="B1014" s="37" t="n">
        <v>46670</v>
      </c>
      <c r="C1014">
        <f>TEXT(B1014,"mmm")</f>
        <v/>
      </c>
      <c r="D1014">
        <f>MONTH(B1014)</f>
        <v/>
      </c>
      <c r="E1014">
        <f>ROUNDUP(MONTH(B1014)/3,0)</f>
        <v/>
      </c>
      <c r="F1014">
        <f>YEAR(B1014)</f>
        <v/>
      </c>
    </row>
    <row r="1015">
      <c r="A1015">
        <f>INT(B1015)</f>
        <v/>
      </c>
      <c r="B1015" s="37" t="n">
        <v>46671</v>
      </c>
      <c r="C1015">
        <f>TEXT(B1015,"mmm")</f>
        <v/>
      </c>
      <c r="D1015">
        <f>MONTH(B1015)</f>
        <v/>
      </c>
      <c r="E1015">
        <f>ROUNDUP(MONTH(B1015)/3,0)</f>
        <v/>
      </c>
      <c r="F1015">
        <f>YEAR(B1015)</f>
        <v/>
      </c>
    </row>
    <row r="1016">
      <c r="A1016">
        <f>INT(B1016)</f>
        <v/>
      </c>
      <c r="B1016" s="37" t="n">
        <v>46672</v>
      </c>
      <c r="C1016">
        <f>TEXT(B1016,"mmm")</f>
        <v/>
      </c>
      <c r="D1016">
        <f>MONTH(B1016)</f>
        <v/>
      </c>
      <c r="E1016">
        <f>ROUNDUP(MONTH(B1016)/3,0)</f>
        <v/>
      </c>
      <c r="F1016">
        <f>YEAR(B1016)</f>
        <v/>
      </c>
    </row>
    <row r="1017">
      <c r="A1017">
        <f>INT(B1017)</f>
        <v/>
      </c>
      <c r="B1017" s="37" t="n">
        <v>46673</v>
      </c>
      <c r="C1017">
        <f>TEXT(B1017,"mmm")</f>
        <v/>
      </c>
      <c r="D1017">
        <f>MONTH(B1017)</f>
        <v/>
      </c>
      <c r="E1017">
        <f>ROUNDUP(MONTH(B1017)/3,0)</f>
        <v/>
      </c>
      <c r="F1017">
        <f>YEAR(B1017)</f>
        <v/>
      </c>
    </row>
    <row r="1018">
      <c r="A1018">
        <f>INT(B1018)</f>
        <v/>
      </c>
      <c r="B1018" s="37" t="n">
        <v>46674</v>
      </c>
      <c r="C1018">
        <f>TEXT(B1018,"mmm")</f>
        <v/>
      </c>
      <c r="D1018">
        <f>MONTH(B1018)</f>
        <v/>
      </c>
      <c r="E1018">
        <f>ROUNDUP(MONTH(B1018)/3,0)</f>
        <v/>
      </c>
      <c r="F1018">
        <f>YEAR(B1018)</f>
        <v/>
      </c>
    </row>
    <row r="1019">
      <c r="A1019">
        <f>INT(B1019)</f>
        <v/>
      </c>
      <c r="B1019" s="37" t="n">
        <v>46675</v>
      </c>
      <c r="C1019">
        <f>TEXT(B1019,"mmm")</f>
        <v/>
      </c>
      <c r="D1019">
        <f>MONTH(B1019)</f>
        <v/>
      </c>
      <c r="E1019">
        <f>ROUNDUP(MONTH(B1019)/3,0)</f>
        <v/>
      </c>
      <c r="F1019">
        <f>YEAR(B1019)</f>
        <v/>
      </c>
    </row>
    <row r="1020">
      <c r="A1020">
        <f>INT(B1020)</f>
        <v/>
      </c>
      <c r="B1020" s="37" t="n">
        <v>46676</v>
      </c>
      <c r="C1020">
        <f>TEXT(B1020,"mmm")</f>
        <v/>
      </c>
      <c r="D1020">
        <f>MONTH(B1020)</f>
        <v/>
      </c>
      <c r="E1020">
        <f>ROUNDUP(MONTH(B1020)/3,0)</f>
        <v/>
      </c>
      <c r="F1020">
        <f>YEAR(B1020)</f>
        <v/>
      </c>
    </row>
    <row r="1021">
      <c r="A1021">
        <f>INT(B1021)</f>
        <v/>
      </c>
      <c r="B1021" s="37" t="n">
        <v>46677</v>
      </c>
      <c r="C1021">
        <f>TEXT(B1021,"mmm")</f>
        <v/>
      </c>
      <c r="D1021">
        <f>MONTH(B1021)</f>
        <v/>
      </c>
      <c r="E1021">
        <f>ROUNDUP(MONTH(B1021)/3,0)</f>
        <v/>
      </c>
      <c r="F1021">
        <f>YEAR(B1021)</f>
        <v/>
      </c>
    </row>
    <row r="1022">
      <c r="A1022">
        <f>INT(B1022)</f>
        <v/>
      </c>
      <c r="B1022" s="37" t="n">
        <v>46678</v>
      </c>
      <c r="C1022">
        <f>TEXT(B1022,"mmm")</f>
        <v/>
      </c>
      <c r="D1022">
        <f>MONTH(B1022)</f>
        <v/>
      </c>
      <c r="E1022">
        <f>ROUNDUP(MONTH(B1022)/3,0)</f>
        <v/>
      </c>
      <c r="F1022">
        <f>YEAR(B1022)</f>
        <v/>
      </c>
    </row>
    <row r="1023">
      <c r="A1023">
        <f>INT(B1023)</f>
        <v/>
      </c>
      <c r="B1023" s="37" t="n">
        <v>46679</v>
      </c>
      <c r="C1023">
        <f>TEXT(B1023,"mmm")</f>
        <v/>
      </c>
      <c r="D1023">
        <f>MONTH(B1023)</f>
        <v/>
      </c>
      <c r="E1023">
        <f>ROUNDUP(MONTH(B1023)/3,0)</f>
        <v/>
      </c>
      <c r="F1023">
        <f>YEAR(B1023)</f>
        <v/>
      </c>
    </row>
    <row r="1024">
      <c r="A1024">
        <f>INT(B1024)</f>
        <v/>
      </c>
      <c r="B1024" s="37" t="n">
        <v>46680</v>
      </c>
      <c r="C1024">
        <f>TEXT(B1024,"mmm")</f>
        <v/>
      </c>
      <c r="D1024">
        <f>MONTH(B1024)</f>
        <v/>
      </c>
      <c r="E1024">
        <f>ROUNDUP(MONTH(B1024)/3,0)</f>
        <v/>
      </c>
      <c r="F1024">
        <f>YEAR(B1024)</f>
        <v/>
      </c>
    </row>
    <row r="1025">
      <c r="A1025">
        <f>INT(B1025)</f>
        <v/>
      </c>
      <c r="B1025" s="37" t="n">
        <v>46681</v>
      </c>
      <c r="C1025">
        <f>TEXT(B1025,"mmm")</f>
        <v/>
      </c>
      <c r="D1025">
        <f>MONTH(B1025)</f>
        <v/>
      </c>
      <c r="E1025">
        <f>ROUNDUP(MONTH(B1025)/3,0)</f>
        <v/>
      </c>
      <c r="F1025">
        <f>YEAR(B1025)</f>
        <v/>
      </c>
    </row>
    <row r="1026">
      <c r="A1026">
        <f>INT(B1026)</f>
        <v/>
      </c>
      <c r="B1026" s="37" t="n">
        <v>46682</v>
      </c>
      <c r="C1026">
        <f>TEXT(B1026,"mmm")</f>
        <v/>
      </c>
      <c r="D1026">
        <f>MONTH(B1026)</f>
        <v/>
      </c>
      <c r="E1026">
        <f>ROUNDUP(MONTH(B1026)/3,0)</f>
        <v/>
      </c>
      <c r="F1026">
        <f>YEAR(B1026)</f>
        <v/>
      </c>
    </row>
    <row r="1027">
      <c r="A1027">
        <f>INT(B1027)</f>
        <v/>
      </c>
      <c r="B1027" s="37" t="n">
        <v>46683</v>
      </c>
      <c r="C1027">
        <f>TEXT(B1027,"mmm")</f>
        <v/>
      </c>
      <c r="D1027">
        <f>MONTH(B1027)</f>
        <v/>
      </c>
      <c r="E1027">
        <f>ROUNDUP(MONTH(B1027)/3,0)</f>
        <v/>
      </c>
      <c r="F1027">
        <f>YEAR(B1027)</f>
        <v/>
      </c>
    </row>
    <row r="1028">
      <c r="A1028">
        <f>INT(B1028)</f>
        <v/>
      </c>
      <c r="B1028" s="37" t="n">
        <v>46684</v>
      </c>
      <c r="C1028">
        <f>TEXT(B1028,"mmm")</f>
        <v/>
      </c>
      <c r="D1028">
        <f>MONTH(B1028)</f>
        <v/>
      </c>
      <c r="E1028">
        <f>ROUNDUP(MONTH(B1028)/3,0)</f>
        <v/>
      </c>
      <c r="F1028">
        <f>YEAR(B1028)</f>
        <v/>
      </c>
    </row>
    <row r="1029">
      <c r="A1029">
        <f>INT(B1029)</f>
        <v/>
      </c>
      <c r="B1029" s="37" t="n">
        <v>46685</v>
      </c>
      <c r="C1029">
        <f>TEXT(B1029,"mmm")</f>
        <v/>
      </c>
      <c r="D1029">
        <f>MONTH(B1029)</f>
        <v/>
      </c>
      <c r="E1029">
        <f>ROUNDUP(MONTH(B1029)/3,0)</f>
        <v/>
      </c>
      <c r="F1029">
        <f>YEAR(B1029)</f>
        <v/>
      </c>
    </row>
    <row r="1030">
      <c r="A1030">
        <f>INT(B1030)</f>
        <v/>
      </c>
      <c r="B1030" s="37" t="n">
        <v>46686</v>
      </c>
      <c r="C1030">
        <f>TEXT(B1030,"mmm")</f>
        <v/>
      </c>
      <c r="D1030">
        <f>MONTH(B1030)</f>
        <v/>
      </c>
      <c r="E1030">
        <f>ROUNDUP(MONTH(B1030)/3,0)</f>
        <v/>
      </c>
      <c r="F1030">
        <f>YEAR(B1030)</f>
        <v/>
      </c>
    </row>
    <row r="1031">
      <c r="A1031">
        <f>INT(B1031)</f>
        <v/>
      </c>
      <c r="B1031" s="37" t="n">
        <v>46687</v>
      </c>
      <c r="C1031">
        <f>TEXT(B1031,"mmm")</f>
        <v/>
      </c>
      <c r="D1031">
        <f>MONTH(B1031)</f>
        <v/>
      </c>
      <c r="E1031">
        <f>ROUNDUP(MONTH(B1031)/3,0)</f>
        <v/>
      </c>
      <c r="F1031">
        <f>YEAR(B1031)</f>
        <v/>
      </c>
    </row>
    <row r="1032">
      <c r="A1032">
        <f>INT(B1032)</f>
        <v/>
      </c>
      <c r="B1032" s="37" t="n">
        <v>46688</v>
      </c>
      <c r="C1032">
        <f>TEXT(B1032,"mmm")</f>
        <v/>
      </c>
      <c r="D1032">
        <f>MONTH(B1032)</f>
        <v/>
      </c>
      <c r="E1032">
        <f>ROUNDUP(MONTH(B1032)/3,0)</f>
        <v/>
      </c>
      <c r="F1032">
        <f>YEAR(B1032)</f>
        <v/>
      </c>
    </row>
    <row r="1033">
      <c r="A1033">
        <f>INT(B1033)</f>
        <v/>
      </c>
      <c r="B1033" s="37" t="n">
        <v>46689</v>
      </c>
      <c r="C1033">
        <f>TEXT(B1033,"mmm")</f>
        <v/>
      </c>
      <c r="D1033">
        <f>MONTH(B1033)</f>
        <v/>
      </c>
      <c r="E1033">
        <f>ROUNDUP(MONTH(B1033)/3,0)</f>
        <v/>
      </c>
      <c r="F1033">
        <f>YEAR(B1033)</f>
        <v/>
      </c>
    </row>
    <row r="1034">
      <c r="A1034">
        <f>INT(B1034)</f>
        <v/>
      </c>
      <c r="B1034" s="37" t="n">
        <v>46690</v>
      </c>
      <c r="C1034">
        <f>TEXT(B1034,"mmm")</f>
        <v/>
      </c>
      <c r="D1034">
        <f>MONTH(B1034)</f>
        <v/>
      </c>
      <c r="E1034">
        <f>ROUNDUP(MONTH(B1034)/3,0)</f>
        <v/>
      </c>
      <c r="F1034">
        <f>YEAR(B1034)</f>
        <v/>
      </c>
    </row>
    <row r="1035">
      <c r="A1035">
        <f>INT(B1035)</f>
        <v/>
      </c>
      <c r="B1035" s="37" t="n">
        <v>46691</v>
      </c>
      <c r="C1035">
        <f>TEXT(B1035,"mmm")</f>
        <v/>
      </c>
      <c r="D1035">
        <f>MONTH(B1035)</f>
        <v/>
      </c>
      <c r="E1035">
        <f>ROUNDUP(MONTH(B1035)/3,0)</f>
        <v/>
      </c>
      <c r="F1035">
        <f>YEAR(B1035)</f>
        <v/>
      </c>
    </row>
    <row r="1036">
      <c r="A1036">
        <f>INT(B1036)</f>
        <v/>
      </c>
      <c r="B1036" s="37" t="n">
        <v>46692</v>
      </c>
      <c r="C1036">
        <f>TEXT(B1036,"mmm")</f>
        <v/>
      </c>
      <c r="D1036">
        <f>MONTH(B1036)</f>
        <v/>
      </c>
      <c r="E1036">
        <f>ROUNDUP(MONTH(B1036)/3,0)</f>
        <v/>
      </c>
      <c r="F1036">
        <f>YEAR(B1036)</f>
        <v/>
      </c>
    </row>
    <row r="1037">
      <c r="A1037">
        <f>INT(B1037)</f>
        <v/>
      </c>
      <c r="B1037" s="37" t="n">
        <v>46693</v>
      </c>
      <c r="C1037">
        <f>TEXT(B1037,"mmm")</f>
        <v/>
      </c>
      <c r="D1037">
        <f>MONTH(B1037)</f>
        <v/>
      </c>
      <c r="E1037">
        <f>ROUNDUP(MONTH(B1037)/3,0)</f>
        <v/>
      </c>
      <c r="F1037">
        <f>YEAR(B1037)</f>
        <v/>
      </c>
    </row>
    <row r="1038">
      <c r="A1038">
        <f>INT(B1038)</f>
        <v/>
      </c>
      <c r="B1038" s="37" t="n">
        <v>46694</v>
      </c>
      <c r="C1038">
        <f>TEXT(B1038,"mmm")</f>
        <v/>
      </c>
      <c r="D1038">
        <f>MONTH(B1038)</f>
        <v/>
      </c>
      <c r="E1038">
        <f>ROUNDUP(MONTH(B1038)/3,0)</f>
        <v/>
      </c>
      <c r="F1038">
        <f>YEAR(B1038)</f>
        <v/>
      </c>
    </row>
    <row r="1039">
      <c r="A1039">
        <f>INT(B1039)</f>
        <v/>
      </c>
      <c r="B1039" s="37" t="n">
        <v>46695</v>
      </c>
      <c r="C1039">
        <f>TEXT(B1039,"mmm")</f>
        <v/>
      </c>
      <c r="D1039">
        <f>MONTH(B1039)</f>
        <v/>
      </c>
      <c r="E1039">
        <f>ROUNDUP(MONTH(B1039)/3,0)</f>
        <v/>
      </c>
      <c r="F1039">
        <f>YEAR(B1039)</f>
        <v/>
      </c>
    </row>
    <row r="1040">
      <c r="A1040">
        <f>INT(B1040)</f>
        <v/>
      </c>
      <c r="B1040" s="37" t="n">
        <v>46696</v>
      </c>
      <c r="C1040">
        <f>TEXT(B1040,"mmm")</f>
        <v/>
      </c>
      <c r="D1040">
        <f>MONTH(B1040)</f>
        <v/>
      </c>
      <c r="E1040">
        <f>ROUNDUP(MONTH(B1040)/3,0)</f>
        <v/>
      </c>
      <c r="F1040">
        <f>YEAR(B1040)</f>
        <v/>
      </c>
    </row>
    <row r="1041">
      <c r="A1041">
        <f>INT(B1041)</f>
        <v/>
      </c>
      <c r="B1041" s="37" t="n">
        <v>46697</v>
      </c>
      <c r="C1041">
        <f>TEXT(B1041,"mmm")</f>
        <v/>
      </c>
      <c r="D1041">
        <f>MONTH(B1041)</f>
        <v/>
      </c>
      <c r="E1041">
        <f>ROUNDUP(MONTH(B1041)/3,0)</f>
        <v/>
      </c>
      <c r="F1041">
        <f>YEAR(B1041)</f>
        <v/>
      </c>
    </row>
    <row r="1042">
      <c r="A1042">
        <f>INT(B1042)</f>
        <v/>
      </c>
      <c r="B1042" s="37" t="n">
        <v>46698</v>
      </c>
      <c r="C1042">
        <f>TEXT(B1042,"mmm")</f>
        <v/>
      </c>
      <c r="D1042">
        <f>MONTH(B1042)</f>
        <v/>
      </c>
      <c r="E1042">
        <f>ROUNDUP(MONTH(B1042)/3,0)</f>
        <v/>
      </c>
      <c r="F1042">
        <f>YEAR(B1042)</f>
        <v/>
      </c>
    </row>
    <row r="1043">
      <c r="A1043">
        <f>INT(B1043)</f>
        <v/>
      </c>
      <c r="B1043" s="37" t="n">
        <v>46699</v>
      </c>
      <c r="C1043">
        <f>TEXT(B1043,"mmm")</f>
        <v/>
      </c>
      <c r="D1043">
        <f>MONTH(B1043)</f>
        <v/>
      </c>
      <c r="E1043">
        <f>ROUNDUP(MONTH(B1043)/3,0)</f>
        <v/>
      </c>
      <c r="F1043">
        <f>YEAR(B1043)</f>
        <v/>
      </c>
    </row>
    <row r="1044">
      <c r="A1044">
        <f>INT(B1044)</f>
        <v/>
      </c>
      <c r="B1044" s="37" t="n">
        <v>46700</v>
      </c>
      <c r="C1044">
        <f>TEXT(B1044,"mmm")</f>
        <v/>
      </c>
      <c r="D1044">
        <f>MONTH(B1044)</f>
        <v/>
      </c>
      <c r="E1044">
        <f>ROUNDUP(MONTH(B1044)/3,0)</f>
        <v/>
      </c>
      <c r="F1044">
        <f>YEAR(B1044)</f>
        <v/>
      </c>
    </row>
    <row r="1045">
      <c r="A1045">
        <f>INT(B1045)</f>
        <v/>
      </c>
      <c r="B1045" s="37" t="n">
        <v>46701</v>
      </c>
      <c r="C1045">
        <f>TEXT(B1045,"mmm")</f>
        <v/>
      </c>
      <c r="D1045">
        <f>MONTH(B1045)</f>
        <v/>
      </c>
      <c r="E1045">
        <f>ROUNDUP(MONTH(B1045)/3,0)</f>
        <v/>
      </c>
      <c r="F1045">
        <f>YEAR(B1045)</f>
        <v/>
      </c>
    </row>
    <row r="1046">
      <c r="A1046">
        <f>INT(B1046)</f>
        <v/>
      </c>
      <c r="B1046" s="37" t="n">
        <v>46702</v>
      </c>
      <c r="C1046">
        <f>TEXT(B1046,"mmm")</f>
        <v/>
      </c>
      <c r="D1046">
        <f>MONTH(B1046)</f>
        <v/>
      </c>
      <c r="E1046">
        <f>ROUNDUP(MONTH(B1046)/3,0)</f>
        <v/>
      </c>
      <c r="F1046">
        <f>YEAR(B1046)</f>
        <v/>
      </c>
    </row>
    <row r="1047">
      <c r="A1047">
        <f>INT(B1047)</f>
        <v/>
      </c>
      <c r="B1047" s="37" t="n">
        <v>46703</v>
      </c>
      <c r="C1047">
        <f>TEXT(B1047,"mmm")</f>
        <v/>
      </c>
      <c r="D1047">
        <f>MONTH(B1047)</f>
        <v/>
      </c>
      <c r="E1047">
        <f>ROUNDUP(MONTH(B1047)/3,0)</f>
        <v/>
      </c>
      <c r="F1047">
        <f>YEAR(B1047)</f>
        <v/>
      </c>
    </row>
    <row r="1048">
      <c r="A1048">
        <f>INT(B1048)</f>
        <v/>
      </c>
      <c r="B1048" s="37" t="n">
        <v>46704</v>
      </c>
      <c r="C1048">
        <f>TEXT(B1048,"mmm")</f>
        <v/>
      </c>
      <c r="D1048">
        <f>MONTH(B1048)</f>
        <v/>
      </c>
      <c r="E1048">
        <f>ROUNDUP(MONTH(B1048)/3,0)</f>
        <v/>
      </c>
      <c r="F1048">
        <f>YEAR(B1048)</f>
        <v/>
      </c>
    </row>
    <row r="1049">
      <c r="A1049">
        <f>INT(B1049)</f>
        <v/>
      </c>
      <c r="B1049" s="37" t="n">
        <v>46705</v>
      </c>
      <c r="C1049">
        <f>TEXT(B1049,"mmm")</f>
        <v/>
      </c>
      <c r="D1049">
        <f>MONTH(B1049)</f>
        <v/>
      </c>
      <c r="E1049">
        <f>ROUNDUP(MONTH(B1049)/3,0)</f>
        <v/>
      </c>
      <c r="F1049">
        <f>YEAR(B1049)</f>
        <v/>
      </c>
    </row>
    <row r="1050">
      <c r="A1050">
        <f>INT(B1050)</f>
        <v/>
      </c>
      <c r="B1050" s="37" t="n">
        <v>46706</v>
      </c>
      <c r="C1050">
        <f>TEXT(B1050,"mmm")</f>
        <v/>
      </c>
      <c r="D1050">
        <f>MONTH(B1050)</f>
        <v/>
      </c>
      <c r="E1050">
        <f>ROUNDUP(MONTH(B1050)/3,0)</f>
        <v/>
      </c>
      <c r="F1050">
        <f>YEAR(B1050)</f>
        <v/>
      </c>
    </row>
    <row r="1051">
      <c r="A1051">
        <f>INT(B1051)</f>
        <v/>
      </c>
      <c r="B1051" s="37" t="n">
        <v>46707</v>
      </c>
      <c r="C1051">
        <f>TEXT(B1051,"mmm")</f>
        <v/>
      </c>
      <c r="D1051">
        <f>MONTH(B1051)</f>
        <v/>
      </c>
      <c r="E1051">
        <f>ROUNDUP(MONTH(B1051)/3,0)</f>
        <v/>
      </c>
      <c r="F1051">
        <f>YEAR(B1051)</f>
        <v/>
      </c>
    </row>
    <row r="1052">
      <c r="A1052">
        <f>INT(B1052)</f>
        <v/>
      </c>
      <c r="B1052" s="37" t="n">
        <v>46708</v>
      </c>
      <c r="C1052">
        <f>TEXT(B1052,"mmm")</f>
        <v/>
      </c>
      <c r="D1052">
        <f>MONTH(B1052)</f>
        <v/>
      </c>
      <c r="E1052">
        <f>ROUNDUP(MONTH(B1052)/3,0)</f>
        <v/>
      </c>
      <c r="F1052">
        <f>YEAR(B1052)</f>
        <v/>
      </c>
    </row>
    <row r="1053">
      <c r="A1053">
        <f>INT(B1053)</f>
        <v/>
      </c>
      <c r="B1053" s="37" t="n">
        <v>46709</v>
      </c>
      <c r="C1053">
        <f>TEXT(B1053,"mmm")</f>
        <v/>
      </c>
      <c r="D1053">
        <f>MONTH(B1053)</f>
        <v/>
      </c>
      <c r="E1053">
        <f>ROUNDUP(MONTH(B1053)/3,0)</f>
        <v/>
      </c>
      <c r="F1053">
        <f>YEAR(B1053)</f>
        <v/>
      </c>
    </row>
    <row r="1054">
      <c r="A1054">
        <f>INT(B1054)</f>
        <v/>
      </c>
      <c r="B1054" s="37" t="n">
        <v>46710</v>
      </c>
      <c r="C1054">
        <f>TEXT(B1054,"mmm")</f>
        <v/>
      </c>
      <c r="D1054">
        <f>MONTH(B1054)</f>
        <v/>
      </c>
      <c r="E1054">
        <f>ROUNDUP(MONTH(B1054)/3,0)</f>
        <v/>
      </c>
      <c r="F1054">
        <f>YEAR(B1054)</f>
        <v/>
      </c>
    </row>
    <row r="1055">
      <c r="A1055">
        <f>INT(B1055)</f>
        <v/>
      </c>
      <c r="B1055" s="37" t="n">
        <v>46711</v>
      </c>
      <c r="C1055">
        <f>TEXT(B1055,"mmm")</f>
        <v/>
      </c>
      <c r="D1055">
        <f>MONTH(B1055)</f>
        <v/>
      </c>
      <c r="E1055">
        <f>ROUNDUP(MONTH(B1055)/3,0)</f>
        <v/>
      </c>
      <c r="F1055">
        <f>YEAR(B1055)</f>
        <v/>
      </c>
    </row>
    <row r="1056">
      <c r="A1056">
        <f>INT(B1056)</f>
        <v/>
      </c>
      <c r="B1056" s="37" t="n">
        <v>46712</v>
      </c>
      <c r="C1056">
        <f>TEXT(B1056,"mmm")</f>
        <v/>
      </c>
      <c r="D1056">
        <f>MONTH(B1056)</f>
        <v/>
      </c>
      <c r="E1056">
        <f>ROUNDUP(MONTH(B1056)/3,0)</f>
        <v/>
      </c>
      <c r="F1056">
        <f>YEAR(B1056)</f>
        <v/>
      </c>
    </row>
    <row r="1057">
      <c r="A1057">
        <f>INT(B1057)</f>
        <v/>
      </c>
      <c r="B1057" s="37" t="n">
        <v>46713</v>
      </c>
      <c r="C1057">
        <f>TEXT(B1057,"mmm")</f>
        <v/>
      </c>
      <c r="D1057">
        <f>MONTH(B1057)</f>
        <v/>
      </c>
      <c r="E1057">
        <f>ROUNDUP(MONTH(B1057)/3,0)</f>
        <v/>
      </c>
      <c r="F1057">
        <f>YEAR(B1057)</f>
        <v/>
      </c>
    </row>
    <row r="1058">
      <c r="A1058">
        <f>INT(B1058)</f>
        <v/>
      </c>
      <c r="B1058" s="37" t="n">
        <v>46714</v>
      </c>
      <c r="C1058">
        <f>TEXT(B1058,"mmm")</f>
        <v/>
      </c>
      <c r="D1058">
        <f>MONTH(B1058)</f>
        <v/>
      </c>
      <c r="E1058">
        <f>ROUNDUP(MONTH(B1058)/3,0)</f>
        <v/>
      </c>
      <c r="F1058">
        <f>YEAR(B1058)</f>
        <v/>
      </c>
    </row>
    <row r="1059">
      <c r="A1059">
        <f>INT(B1059)</f>
        <v/>
      </c>
      <c r="B1059" s="37" t="n">
        <v>46715</v>
      </c>
      <c r="C1059">
        <f>TEXT(B1059,"mmm")</f>
        <v/>
      </c>
      <c r="D1059">
        <f>MONTH(B1059)</f>
        <v/>
      </c>
      <c r="E1059">
        <f>ROUNDUP(MONTH(B1059)/3,0)</f>
        <v/>
      </c>
      <c r="F1059">
        <f>YEAR(B1059)</f>
        <v/>
      </c>
    </row>
    <row r="1060">
      <c r="A1060">
        <f>INT(B1060)</f>
        <v/>
      </c>
      <c r="B1060" s="37" t="n">
        <v>46716</v>
      </c>
      <c r="C1060">
        <f>TEXT(B1060,"mmm")</f>
        <v/>
      </c>
      <c r="D1060">
        <f>MONTH(B1060)</f>
        <v/>
      </c>
      <c r="E1060">
        <f>ROUNDUP(MONTH(B1060)/3,0)</f>
        <v/>
      </c>
      <c r="F1060">
        <f>YEAR(B1060)</f>
        <v/>
      </c>
    </row>
    <row r="1061">
      <c r="A1061">
        <f>INT(B1061)</f>
        <v/>
      </c>
      <c r="B1061" s="37" t="n">
        <v>46717</v>
      </c>
      <c r="C1061">
        <f>TEXT(B1061,"mmm")</f>
        <v/>
      </c>
      <c r="D1061">
        <f>MONTH(B1061)</f>
        <v/>
      </c>
      <c r="E1061">
        <f>ROUNDUP(MONTH(B1061)/3,0)</f>
        <v/>
      </c>
      <c r="F1061">
        <f>YEAR(B1061)</f>
        <v/>
      </c>
    </row>
    <row r="1062">
      <c r="A1062">
        <f>INT(B1062)</f>
        <v/>
      </c>
      <c r="B1062" s="37" t="n">
        <v>46718</v>
      </c>
      <c r="C1062">
        <f>TEXT(B1062,"mmm")</f>
        <v/>
      </c>
      <c r="D1062">
        <f>MONTH(B1062)</f>
        <v/>
      </c>
      <c r="E1062">
        <f>ROUNDUP(MONTH(B1062)/3,0)</f>
        <v/>
      </c>
      <c r="F1062">
        <f>YEAR(B1062)</f>
        <v/>
      </c>
    </row>
    <row r="1063">
      <c r="A1063">
        <f>INT(B1063)</f>
        <v/>
      </c>
      <c r="B1063" s="37" t="n">
        <v>46719</v>
      </c>
      <c r="C1063">
        <f>TEXT(B1063,"mmm")</f>
        <v/>
      </c>
      <c r="D1063">
        <f>MONTH(B1063)</f>
        <v/>
      </c>
      <c r="E1063">
        <f>ROUNDUP(MONTH(B1063)/3,0)</f>
        <v/>
      </c>
      <c r="F1063">
        <f>YEAR(B1063)</f>
        <v/>
      </c>
    </row>
    <row r="1064">
      <c r="A1064">
        <f>INT(B1064)</f>
        <v/>
      </c>
      <c r="B1064" s="37" t="n">
        <v>46720</v>
      </c>
      <c r="C1064">
        <f>TEXT(B1064,"mmm")</f>
        <v/>
      </c>
      <c r="D1064">
        <f>MONTH(B1064)</f>
        <v/>
      </c>
      <c r="E1064">
        <f>ROUNDUP(MONTH(B1064)/3,0)</f>
        <v/>
      </c>
      <c r="F1064">
        <f>YEAR(B1064)</f>
        <v/>
      </c>
    </row>
    <row r="1065">
      <c r="A1065">
        <f>INT(B1065)</f>
        <v/>
      </c>
      <c r="B1065" s="37" t="n">
        <v>46721</v>
      </c>
      <c r="C1065">
        <f>TEXT(B1065,"mmm")</f>
        <v/>
      </c>
      <c r="D1065">
        <f>MONTH(B1065)</f>
        <v/>
      </c>
      <c r="E1065">
        <f>ROUNDUP(MONTH(B1065)/3,0)</f>
        <v/>
      </c>
      <c r="F1065">
        <f>YEAR(B1065)</f>
        <v/>
      </c>
    </row>
    <row r="1066">
      <c r="A1066">
        <f>INT(B1066)</f>
        <v/>
      </c>
      <c r="B1066" s="37" t="n">
        <v>46722</v>
      </c>
      <c r="C1066">
        <f>TEXT(B1066,"mmm")</f>
        <v/>
      </c>
      <c r="D1066">
        <f>MONTH(B1066)</f>
        <v/>
      </c>
      <c r="E1066">
        <f>ROUNDUP(MONTH(B1066)/3,0)</f>
        <v/>
      </c>
      <c r="F1066">
        <f>YEAR(B1066)</f>
        <v/>
      </c>
    </row>
    <row r="1067">
      <c r="A1067">
        <f>INT(B1067)</f>
        <v/>
      </c>
      <c r="B1067" s="37" t="n">
        <v>46723</v>
      </c>
      <c r="C1067">
        <f>TEXT(B1067,"mmm")</f>
        <v/>
      </c>
      <c r="D1067">
        <f>MONTH(B1067)</f>
        <v/>
      </c>
      <c r="E1067">
        <f>ROUNDUP(MONTH(B1067)/3,0)</f>
        <v/>
      </c>
      <c r="F1067">
        <f>YEAR(B1067)</f>
        <v/>
      </c>
    </row>
    <row r="1068">
      <c r="A1068">
        <f>INT(B1068)</f>
        <v/>
      </c>
      <c r="B1068" s="37" t="n">
        <v>46724</v>
      </c>
      <c r="C1068">
        <f>TEXT(B1068,"mmm")</f>
        <v/>
      </c>
      <c r="D1068">
        <f>MONTH(B1068)</f>
        <v/>
      </c>
      <c r="E1068">
        <f>ROUNDUP(MONTH(B1068)/3,0)</f>
        <v/>
      </c>
      <c r="F1068">
        <f>YEAR(B1068)</f>
        <v/>
      </c>
    </row>
    <row r="1069">
      <c r="A1069">
        <f>INT(B1069)</f>
        <v/>
      </c>
      <c r="B1069" s="37" t="n">
        <v>46725</v>
      </c>
      <c r="C1069">
        <f>TEXT(B1069,"mmm")</f>
        <v/>
      </c>
      <c r="D1069">
        <f>MONTH(B1069)</f>
        <v/>
      </c>
      <c r="E1069">
        <f>ROUNDUP(MONTH(B1069)/3,0)</f>
        <v/>
      </c>
      <c r="F1069">
        <f>YEAR(B1069)</f>
        <v/>
      </c>
    </row>
    <row r="1070">
      <c r="A1070">
        <f>INT(B1070)</f>
        <v/>
      </c>
      <c r="B1070" s="37" t="n">
        <v>46726</v>
      </c>
      <c r="C1070">
        <f>TEXT(B1070,"mmm")</f>
        <v/>
      </c>
      <c r="D1070">
        <f>MONTH(B1070)</f>
        <v/>
      </c>
      <c r="E1070">
        <f>ROUNDUP(MONTH(B1070)/3,0)</f>
        <v/>
      </c>
      <c r="F1070">
        <f>YEAR(B1070)</f>
        <v/>
      </c>
    </row>
    <row r="1071">
      <c r="A1071">
        <f>INT(B1071)</f>
        <v/>
      </c>
      <c r="B1071" s="37" t="n">
        <v>46727</v>
      </c>
      <c r="C1071">
        <f>TEXT(B1071,"mmm")</f>
        <v/>
      </c>
      <c r="D1071">
        <f>MONTH(B1071)</f>
        <v/>
      </c>
      <c r="E1071">
        <f>ROUNDUP(MONTH(B1071)/3,0)</f>
        <v/>
      </c>
      <c r="F1071">
        <f>YEAR(B1071)</f>
        <v/>
      </c>
    </row>
    <row r="1072">
      <c r="A1072">
        <f>INT(B1072)</f>
        <v/>
      </c>
      <c r="B1072" s="37" t="n">
        <v>46728</v>
      </c>
      <c r="C1072">
        <f>TEXT(B1072,"mmm")</f>
        <v/>
      </c>
      <c r="D1072">
        <f>MONTH(B1072)</f>
        <v/>
      </c>
      <c r="E1072">
        <f>ROUNDUP(MONTH(B1072)/3,0)</f>
        <v/>
      </c>
      <c r="F1072">
        <f>YEAR(B1072)</f>
        <v/>
      </c>
    </row>
    <row r="1073">
      <c r="A1073">
        <f>INT(B1073)</f>
        <v/>
      </c>
      <c r="B1073" s="37" t="n">
        <v>46729</v>
      </c>
      <c r="C1073">
        <f>TEXT(B1073,"mmm")</f>
        <v/>
      </c>
      <c r="D1073">
        <f>MONTH(B1073)</f>
        <v/>
      </c>
      <c r="E1073">
        <f>ROUNDUP(MONTH(B1073)/3,0)</f>
        <v/>
      </c>
      <c r="F1073">
        <f>YEAR(B1073)</f>
        <v/>
      </c>
    </row>
    <row r="1074">
      <c r="A1074">
        <f>INT(B1074)</f>
        <v/>
      </c>
      <c r="B1074" s="37" t="n">
        <v>46730</v>
      </c>
      <c r="C1074">
        <f>TEXT(B1074,"mmm")</f>
        <v/>
      </c>
      <c r="D1074">
        <f>MONTH(B1074)</f>
        <v/>
      </c>
      <c r="E1074">
        <f>ROUNDUP(MONTH(B1074)/3,0)</f>
        <v/>
      </c>
      <c r="F1074">
        <f>YEAR(B1074)</f>
        <v/>
      </c>
    </row>
    <row r="1075">
      <c r="A1075">
        <f>INT(B1075)</f>
        <v/>
      </c>
      <c r="B1075" s="37" t="n">
        <v>46731</v>
      </c>
      <c r="C1075">
        <f>TEXT(B1075,"mmm")</f>
        <v/>
      </c>
      <c r="D1075">
        <f>MONTH(B1075)</f>
        <v/>
      </c>
      <c r="E1075">
        <f>ROUNDUP(MONTH(B1075)/3,0)</f>
        <v/>
      </c>
      <c r="F1075">
        <f>YEAR(B1075)</f>
        <v/>
      </c>
    </row>
    <row r="1076">
      <c r="A1076">
        <f>INT(B1076)</f>
        <v/>
      </c>
      <c r="B1076" s="37" t="n">
        <v>46732</v>
      </c>
      <c r="C1076">
        <f>TEXT(B1076,"mmm")</f>
        <v/>
      </c>
      <c r="D1076">
        <f>MONTH(B1076)</f>
        <v/>
      </c>
      <c r="E1076">
        <f>ROUNDUP(MONTH(B1076)/3,0)</f>
        <v/>
      </c>
      <c r="F1076">
        <f>YEAR(B1076)</f>
        <v/>
      </c>
    </row>
    <row r="1077">
      <c r="A1077">
        <f>INT(B1077)</f>
        <v/>
      </c>
      <c r="B1077" s="37" t="n">
        <v>46733</v>
      </c>
      <c r="C1077">
        <f>TEXT(B1077,"mmm")</f>
        <v/>
      </c>
      <c r="D1077">
        <f>MONTH(B1077)</f>
        <v/>
      </c>
      <c r="E1077">
        <f>ROUNDUP(MONTH(B1077)/3,0)</f>
        <v/>
      </c>
      <c r="F1077">
        <f>YEAR(B1077)</f>
        <v/>
      </c>
    </row>
    <row r="1078">
      <c r="A1078">
        <f>INT(B1078)</f>
        <v/>
      </c>
      <c r="B1078" s="37" t="n">
        <v>46734</v>
      </c>
      <c r="C1078">
        <f>TEXT(B1078,"mmm")</f>
        <v/>
      </c>
      <c r="D1078">
        <f>MONTH(B1078)</f>
        <v/>
      </c>
      <c r="E1078">
        <f>ROUNDUP(MONTH(B1078)/3,0)</f>
        <v/>
      </c>
      <c r="F1078">
        <f>YEAR(B1078)</f>
        <v/>
      </c>
    </row>
    <row r="1079">
      <c r="A1079">
        <f>INT(B1079)</f>
        <v/>
      </c>
      <c r="B1079" s="37" t="n">
        <v>46735</v>
      </c>
      <c r="C1079">
        <f>TEXT(B1079,"mmm")</f>
        <v/>
      </c>
      <c r="D1079">
        <f>MONTH(B1079)</f>
        <v/>
      </c>
      <c r="E1079">
        <f>ROUNDUP(MONTH(B1079)/3,0)</f>
        <v/>
      </c>
      <c r="F1079">
        <f>YEAR(B1079)</f>
        <v/>
      </c>
    </row>
    <row r="1080">
      <c r="A1080">
        <f>INT(B1080)</f>
        <v/>
      </c>
      <c r="B1080" s="37" t="n">
        <v>46736</v>
      </c>
      <c r="C1080">
        <f>TEXT(B1080,"mmm")</f>
        <v/>
      </c>
      <c r="D1080">
        <f>MONTH(B1080)</f>
        <v/>
      </c>
      <c r="E1080">
        <f>ROUNDUP(MONTH(B1080)/3,0)</f>
        <v/>
      </c>
      <c r="F1080">
        <f>YEAR(B1080)</f>
        <v/>
      </c>
    </row>
    <row r="1081">
      <c r="A1081">
        <f>INT(B1081)</f>
        <v/>
      </c>
      <c r="B1081" s="37" t="n">
        <v>46737</v>
      </c>
      <c r="C1081">
        <f>TEXT(B1081,"mmm")</f>
        <v/>
      </c>
      <c r="D1081">
        <f>MONTH(B1081)</f>
        <v/>
      </c>
      <c r="E1081">
        <f>ROUNDUP(MONTH(B1081)/3,0)</f>
        <v/>
      </c>
      <c r="F1081">
        <f>YEAR(B1081)</f>
        <v/>
      </c>
    </row>
    <row r="1082">
      <c r="A1082">
        <f>INT(B1082)</f>
        <v/>
      </c>
      <c r="B1082" s="37" t="n">
        <v>46738</v>
      </c>
      <c r="C1082">
        <f>TEXT(B1082,"mmm")</f>
        <v/>
      </c>
      <c r="D1082">
        <f>MONTH(B1082)</f>
        <v/>
      </c>
      <c r="E1082">
        <f>ROUNDUP(MONTH(B1082)/3,0)</f>
        <v/>
      </c>
      <c r="F1082">
        <f>YEAR(B1082)</f>
        <v/>
      </c>
    </row>
    <row r="1083">
      <c r="A1083">
        <f>INT(B1083)</f>
        <v/>
      </c>
      <c r="B1083" s="37" t="n">
        <v>46739</v>
      </c>
      <c r="C1083">
        <f>TEXT(B1083,"mmm")</f>
        <v/>
      </c>
      <c r="D1083">
        <f>MONTH(B1083)</f>
        <v/>
      </c>
      <c r="E1083">
        <f>ROUNDUP(MONTH(B1083)/3,0)</f>
        <v/>
      </c>
      <c r="F1083">
        <f>YEAR(B1083)</f>
        <v/>
      </c>
    </row>
    <row r="1084">
      <c r="A1084">
        <f>INT(B1084)</f>
        <v/>
      </c>
      <c r="B1084" s="37" t="n">
        <v>46740</v>
      </c>
      <c r="C1084">
        <f>TEXT(B1084,"mmm")</f>
        <v/>
      </c>
      <c r="D1084">
        <f>MONTH(B1084)</f>
        <v/>
      </c>
      <c r="E1084">
        <f>ROUNDUP(MONTH(B1084)/3,0)</f>
        <v/>
      </c>
      <c r="F1084">
        <f>YEAR(B1084)</f>
        <v/>
      </c>
    </row>
    <row r="1085">
      <c r="A1085">
        <f>INT(B1085)</f>
        <v/>
      </c>
      <c r="B1085" s="37" t="n">
        <v>46741</v>
      </c>
      <c r="C1085">
        <f>TEXT(B1085,"mmm")</f>
        <v/>
      </c>
      <c r="D1085">
        <f>MONTH(B1085)</f>
        <v/>
      </c>
      <c r="E1085">
        <f>ROUNDUP(MONTH(B1085)/3,0)</f>
        <v/>
      </c>
      <c r="F1085">
        <f>YEAR(B1085)</f>
        <v/>
      </c>
    </row>
    <row r="1086">
      <c r="A1086">
        <f>INT(B1086)</f>
        <v/>
      </c>
      <c r="B1086" s="37" t="n">
        <v>46742</v>
      </c>
      <c r="C1086">
        <f>TEXT(B1086,"mmm")</f>
        <v/>
      </c>
      <c r="D1086">
        <f>MONTH(B1086)</f>
        <v/>
      </c>
      <c r="E1086">
        <f>ROUNDUP(MONTH(B1086)/3,0)</f>
        <v/>
      </c>
      <c r="F1086">
        <f>YEAR(B1086)</f>
        <v/>
      </c>
    </row>
    <row r="1087">
      <c r="A1087">
        <f>INT(B1087)</f>
        <v/>
      </c>
      <c r="B1087" s="37" t="n">
        <v>46743</v>
      </c>
      <c r="C1087">
        <f>TEXT(B1087,"mmm")</f>
        <v/>
      </c>
      <c r="D1087">
        <f>MONTH(B1087)</f>
        <v/>
      </c>
      <c r="E1087">
        <f>ROUNDUP(MONTH(B1087)/3,0)</f>
        <v/>
      </c>
      <c r="F1087">
        <f>YEAR(B1087)</f>
        <v/>
      </c>
    </row>
    <row r="1088">
      <c r="A1088">
        <f>INT(B1088)</f>
        <v/>
      </c>
      <c r="B1088" s="37" t="n">
        <v>46744</v>
      </c>
      <c r="C1088">
        <f>TEXT(B1088,"mmm")</f>
        <v/>
      </c>
      <c r="D1088">
        <f>MONTH(B1088)</f>
        <v/>
      </c>
      <c r="E1088">
        <f>ROUNDUP(MONTH(B1088)/3,0)</f>
        <v/>
      </c>
      <c r="F1088">
        <f>YEAR(B1088)</f>
        <v/>
      </c>
    </row>
    <row r="1089">
      <c r="A1089">
        <f>INT(B1089)</f>
        <v/>
      </c>
      <c r="B1089" s="37" t="n">
        <v>46745</v>
      </c>
      <c r="C1089">
        <f>TEXT(B1089,"mmm")</f>
        <v/>
      </c>
      <c r="D1089">
        <f>MONTH(B1089)</f>
        <v/>
      </c>
      <c r="E1089">
        <f>ROUNDUP(MONTH(B1089)/3,0)</f>
        <v/>
      </c>
      <c r="F1089">
        <f>YEAR(B1089)</f>
        <v/>
      </c>
    </row>
    <row r="1090">
      <c r="A1090">
        <f>INT(B1090)</f>
        <v/>
      </c>
      <c r="B1090" s="37" t="n">
        <v>46746</v>
      </c>
      <c r="C1090">
        <f>TEXT(B1090,"mmm")</f>
        <v/>
      </c>
      <c r="D1090">
        <f>MONTH(B1090)</f>
        <v/>
      </c>
      <c r="E1090">
        <f>ROUNDUP(MONTH(B1090)/3,0)</f>
        <v/>
      </c>
      <c r="F1090">
        <f>YEAR(B1090)</f>
        <v/>
      </c>
    </row>
    <row r="1091">
      <c r="A1091">
        <f>INT(B1091)</f>
        <v/>
      </c>
      <c r="B1091" s="37" t="n">
        <v>46747</v>
      </c>
      <c r="C1091">
        <f>TEXT(B1091,"mmm")</f>
        <v/>
      </c>
      <c r="D1091">
        <f>MONTH(B1091)</f>
        <v/>
      </c>
      <c r="E1091">
        <f>ROUNDUP(MONTH(B1091)/3,0)</f>
        <v/>
      </c>
      <c r="F1091">
        <f>YEAR(B1091)</f>
        <v/>
      </c>
    </row>
    <row r="1092">
      <c r="A1092">
        <f>INT(B1092)</f>
        <v/>
      </c>
      <c r="B1092" s="37" t="n">
        <v>46748</v>
      </c>
      <c r="C1092">
        <f>TEXT(B1092,"mmm")</f>
        <v/>
      </c>
      <c r="D1092">
        <f>MONTH(B1092)</f>
        <v/>
      </c>
      <c r="E1092">
        <f>ROUNDUP(MONTH(B1092)/3,0)</f>
        <v/>
      </c>
      <c r="F1092">
        <f>YEAR(B1092)</f>
        <v/>
      </c>
    </row>
    <row r="1093">
      <c r="A1093">
        <f>INT(B1093)</f>
        <v/>
      </c>
      <c r="B1093" s="37" t="n">
        <v>46749</v>
      </c>
      <c r="C1093">
        <f>TEXT(B1093,"mmm")</f>
        <v/>
      </c>
      <c r="D1093">
        <f>MONTH(B1093)</f>
        <v/>
      </c>
      <c r="E1093">
        <f>ROUNDUP(MONTH(B1093)/3,0)</f>
        <v/>
      </c>
      <c r="F1093">
        <f>YEAR(B1093)</f>
        <v/>
      </c>
    </row>
    <row r="1094">
      <c r="A1094">
        <f>INT(B1094)</f>
        <v/>
      </c>
      <c r="B1094" s="37" t="n">
        <v>46750</v>
      </c>
      <c r="C1094">
        <f>TEXT(B1094,"mmm")</f>
        <v/>
      </c>
      <c r="D1094">
        <f>MONTH(B1094)</f>
        <v/>
      </c>
      <c r="E1094">
        <f>ROUNDUP(MONTH(B1094)/3,0)</f>
        <v/>
      </c>
      <c r="F1094">
        <f>YEAR(B1094)</f>
        <v/>
      </c>
    </row>
    <row r="1095">
      <c r="A1095">
        <f>INT(B1095)</f>
        <v/>
      </c>
      <c r="B1095" s="37" t="n">
        <v>46751</v>
      </c>
      <c r="C1095">
        <f>TEXT(B1095,"mmm")</f>
        <v/>
      </c>
      <c r="D1095">
        <f>MONTH(B1095)</f>
        <v/>
      </c>
      <c r="E1095">
        <f>ROUNDUP(MONTH(B1095)/3,0)</f>
        <v/>
      </c>
      <c r="F1095">
        <f>YEAR(B1095)</f>
        <v/>
      </c>
    </row>
    <row r="1096">
      <c r="A1096">
        <f>INT(B1096)</f>
        <v/>
      </c>
      <c r="B1096" s="37" t="n">
        <v>46752</v>
      </c>
      <c r="C1096">
        <f>TEXT(B1096,"mmm")</f>
        <v/>
      </c>
      <c r="D1096">
        <f>MONTH(B1096)</f>
        <v/>
      </c>
      <c r="E1096">
        <f>ROUNDUP(MONTH(B1096)/3,0)</f>
        <v/>
      </c>
      <c r="F1096">
        <f>YEAR(B1096)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46" t="inlineStr">
        <is>
          <t>Month</t>
        </is>
      </c>
      <c r="B1" s="46" t="inlineStr">
        <is>
          <t>MonthEnd</t>
        </is>
      </c>
      <c r="C1" s="46" t="inlineStr">
        <is>
          <t>Income</t>
        </is>
      </c>
      <c r="D1" s="46" t="inlineStr">
        <is>
          <t>Expenses</t>
        </is>
      </c>
      <c r="E1" s="46" t="inlineStr">
        <is>
          <t>NetSavings</t>
        </is>
      </c>
      <c r="F1" s="46" t="inlineStr">
        <is>
          <t>CumSavings</t>
        </is>
      </c>
    </row>
    <row r="2">
      <c r="A2" s="47">
        <f>EDATE(TodayDate,-12)</f>
        <v/>
      </c>
      <c r="B2" s="37">
        <f>EOMONTH(A2,0)</f>
        <v/>
      </c>
      <c r="C2" s="48">
        <f>SUMIFS(Fact_Income[NetAmount],Fact_Income[Date],"&gt;="&amp;EOMONTH(A2,-1)+1,Fact_Income[Date],"&lt;="&amp;B2)+SUMIFS(BankImportRaw[AbsAmount],BankImportRaw[TransactionType],"Income",BankImportRaw[Date],"&gt;="&amp;EOMONTH(A2,-1)+1,BankImportRaw[Date],"&lt;="&amp;B2)</f>
        <v/>
      </c>
      <c r="D2" s="48">
        <f>SUMIFS(Fact_Expenses[Amount],Fact_Expenses[Date],"&gt;="&amp;EOMONTH(A2,-1)+1,Fact_Expenses[Date],"&lt;="&amp;B2)+SUMIFS(BankImportRaw[AbsAmount],BankImportRaw[TransactionType],"Expense",BankImportRaw[Date],"&gt;="&amp;EOMONTH(A2,-1)+1,BankImportRaw[Date],"&lt;="&amp;B2)</f>
        <v/>
      </c>
      <c r="E2" s="48">
        <f>C2-D2</f>
        <v/>
      </c>
      <c r="F2" s="48">
        <f>SUM($E$2:E2)</f>
        <v/>
      </c>
    </row>
    <row r="3">
      <c r="A3" s="47">
        <f>EDATE(TodayDate,-11)</f>
        <v/>
      </c>
      <c r="B3" s="37">
        <f>EOMONTH(A3,0)</f>
        <v/>
      </c>
      <c r="C3" s="48">
        <f>SUMIFS(Fact_Income[NetAmount],Fact_Income[Date],"&gt;="&amp;EOMONTH(A3,-1)+1,Fact_Income[Date],"&lt;="&amp;B3)+SUMIFS(BankImportRaw[AbsAmount],BankImportRaw[TransactionType],"Income",BankImportRaw[Date],"&gt;="&amp;EOMONTH(A3,-1)+1,BankImportRaw[Date],"&lt;="&amp;B3)</f>
        <v/>
      </c>
      <c r="D3" s="48">
        <f>SUMIFS(Fact_Expenses[Amount],Fact_Expenses[Date],"&gt;="&amp;EOMONTH(A3,-1)+1,Fact_Expenses[Date],"&lt;="&amp;B3)+SUMIFS(BankImportRaw[AbsAmount],BankImportRaw[TransactionType],"Expense",BankImportRaw[Date],"&gt;="&amp;EOMONTH(A3,-1)+1,BankImportRaw[Date],"&lt;="&amp;B3)</f>
        <v/>
      </c>
      <c r="E3" s="48">
        <f>C3-D3</f>
        <v/>
      </c>
      <c r="F3" s="48">
        <f>SUM($E$2:E3)</f>
        <v/>
      </c>
    </row>
    <row r="4">
      <c r="A4" s="47">
        <f>EDATE(TodayDate,-10)</f>
        <v/>
      </c>
      <c r="B4" s="37">
        <f>EOMONTH(A4,0)</f>
        <v/>
      </c>
      <c r="C4" s="48">
        <f>SUMIFS(Fact_Income[NetAmount],Fact_Income[Date],"&gt;="&amp;EOMONTH(A4,-1)+1,Fact_Income[Date],"&lt;="&amp;B4)+SUMIFS(BankImportRaw[AbsAmount],BankImportRaw[TransactionType],"Income",BankImportRaw[Date],"&gt;="&amp;EOMONTH(A4,-1)+1,BankImportRaw[Date],"&lt;="&amp;B4)</f>
        <v/>
      </c>
      <c r="D4" s="48">
        <f>SUMIFS(Fact_Expenses[Amount],Fact_Expenses[Date],"&gt;="&amp;EOMONTH(A4,-1)+1,Fact_Expenses[Date],"&lt;="&amp;B4)+SUMIFS(BankImportRaw[AbsAmount],BankImportRaw[TransactionType],"Expense",BankImportRaw[Date],"&gt;="&amp;EOMONTH(A4,-1)+1,BankImportRaw[Date],"&lt;="&amp;B4)</f>
        <v/>
      </c>
      <c r="E4" s="48">
        <f>C4-D4</f>
        <v/>
      </c>
      <c r="F4" s="48">
        <f>SUM($E$2:E4)</f>
        <v/>
      </c>
    </row>
    <row r="5">
      <c r="A5" s="47">
        <f>EDATE(TodayDate,-9)</f>
        <v/>
      </c>
      <c r="B5" s="37">
        <f>EOMONTH(A5,0)</f>
        <v/>
      </c>
      <c r="C5" s="48">
        <f>SUMIFS(Fact_Income[NetAmount],Fact_Income[Date],"&gt;="&amp;EOMONTH(A5,-1)+1,Fact_Income[Date],"&lt;="&amp;B5)+SUMIFS(BankImportRaw[AbsAmount],BankImportRaw[TransactionType],"Income",BankImportRaw[Date],"&gt;="&amp;EOMONTH(A5,-1)+1,BankImportRaw[Date],"&lt;="&amp;B5)</f>
        <v/>
      </c>
      <c r="D5" s="48">
        <f>SUMIFS(Fact_Expenses[Amount],Fact_Expenses[Date],"&gt;="&amp;EOMONTH(A5,-1)+1,Fact_Expenses[Date],"&lt;="&amp;B5)+SUMIFS(BankImportRaw[AbsAmount],BankImportRaw[TransactionType],"Expense",BankImportRaw[Date],"&gt;="&amp;EOMONTH(A5,-1)+1,BankImportRaw[Date],"&lt;="&amp;B5)</f>
        <v/>
      </c>
      <c r="E5" s="48">
        <f>C5-D5</f>
        <v/>
      </c>
      <c r="F5" s="48">
        <f>SUM($E$2:E5)</f>
        <v/>
      </c>
    </row>
    <row r="6">
      <c r="A6" s="47">
        <f>EDATE(TodayDate,-8)</f>
        <v/>
      </c>
      <c r="B6" s="37">
        <f>EOMONTH(A6,0)</f>
        <v/>
      </c>
      <c r="C6" s="48">
        <f>SUMIFS(Fact_Income[NetAmount],Fact_Income[Date],"&gt;="&amp;EOMONTH(A6,-1)+1,Fact_Income[Date],"&lt;="&amp;B6)+SUMIFS(BankImportRaw[AbsAmount],BankImportRaw[TransactionType],"Income",BankImportRaw[Date],"&gt;="&amp;EOMONTH(A6,-1)+1,BankImportRaw[Date],"&lt;="&amp;B6)</f>
        <v/>
      </c>
      <c r="D6" s="48">
        <f>SUMIFS(Fact_Expenses[Amount],Fact_Expenses[Date],"&gt;="&amp;EOMONTH(A6,-1)+1,Fact_Expenses[Date],"&lt;="&amp;B6)+SUMIFS(BankImportRaw[AbsAmount],BankImportRaw[TransactionType],"Expense",BankImportRaw[Date],"&gt;="&amp;EOMONTH(A6,-1)+1,BankImportRaw[Date],"&lt;="&amp;B6)</f>
        <v/>
      </c>
      <c r="E6" s="48">
        <f>C6-D6</f>
        <v/>
      </c>
      <c r="F6" s="48">
        <f>SUM($E$2:E6)</f>
        <v/>
      </c>
    </row>
    <row r="7">
      <c r="A7" s="47">
        <f>EDATE(TodayDate,-7)</f>
        <v/>
      </c>
      <c r="B7" s="37">
        <f>EOMONTH(A7,0)</f>
        <v/>
      </c>
      <c r="C7" s="48">
        <f>SUMIFS(Fact_Income[NetAmount],Fact_Income[Date],"&gt;="&amp;EOMONTH(A7,-1)+1,Fact_Income[Date],"&lt;="&amp;B7)+SUMIFS(BankImportRaw[AbsAmount],BankImportRaw[TransactionType],"Income",BankImportRaw[Date],"&gt;="&amp;EOMONTH(A7,-1)+1,BankImportRaw[Date],"&lt;="&amp;B7)</f>
        <v/>
      </c>
      <c r="D7" s="48">
        <f>SUMIFS(Fact_Expenses[Amount],Fact_Expenses[Date],"&gt;="&amp;EOMONTH(A7,-1)+1,Fact_Expenses[Date],"&lt;="&amp;B7)+SUMIFS(BankImportRaw[AbsAmount],BankImportRaw[TransactionType],"Expense",BankImportRaw[Date],"&gt;="&amp;EOMONTH(A7,-1)+1,BankImportRaw[Date],"&lt;="&amp;B7)</f>
        <v/>
      </c>
      <c r="E7" s="48">
        <f>C7-D7</f>
        <v/>
      </c>
      <c r="F7" s="48">
        <f>SUM($E$2:E7)</f>
        <v/>
      </c>
    </row>
    <row r="8">
      <c r="A8" s="47">
        <f>EDATE(TodayDate,-6)</f>
        <v/>
      </c>
      <c r="B8" s="37">
        <f>EOMONTH(A8,0)</f>
        <v/>
      </c>
      <c r="C8" s="48">
        <f>SUMIFS(Fact_Income[NetAmount],Fact_Income[Date],"&gt;="&amp;EOMONTH(A8,-1)+1,Fact_Income[Date],"&lt;="&amp;B8)+SUMIFS(BankImportRaw[AbsAmount],BankImportRaw[TransactionType],"Income",BankImportRaw[Date],"&gt;="&amp;EOMONTH(A8,-1)+1,BankImportRaw[Date],"&lt;="&amp;B8)</f>
        <v/>
      </c>
      <c r="D8" s="48">
        <f>SUMIFS(Fact_Expenses[Amount],Fact_Expenses[Date],"&gt;="&amp;EOMONTH(A8,-1)+1,Fact_Expenses[Date],"&lt;="&amp;B8)+SUMIFS(BankImportRaw[AbsAmount],BankImportRaw[TransactionType],"Expense",BankImportRaw[Date],"&gt;="&amp;EOMONTH(A8,-1)+1,BankImportRaw[Date],"&lt;="&amp;B8)</f>
        <v/>
      </c>
      <c r="E8" s="48">
        <f>C8-D8</f>
        <v/>
      </c>
      <c r="F8" s="48">
        <f>SUM($E$2:E8)</f>
        <v/>
      </c>
    </row>
    <row r="9">
      <c r="A9" s="47">
        <f>EDATE(TodayDate,-5)</f>
        <v/>
      </c>
      <c r="B9" s="37">
        <f>EOMONTH(A9,0)</f>
        <v/>
      </c>
      <c r="C9" s="48">
        <f>SUMIFS(Fact_Income[NetAmount],Fact_Income[Date],"&gt;="&amp;EOMONTH(A9,-1)+1,Fact_Income[Date],"&lt;="&amp;B9)+SUMIFS(BankImportRaw[AbsAmount],BankImportRaw[TransactionType],"Income",BankImportRaw[Date],"&gt;="&amp;EOMONTH(A9,-1)+1,BankImportRaw[Date],"&lt;="&amp;B9)</f>
        <v/>
      </c>
      <c r="D9" s="48">
        <f>SUMIFS(Fact_Expenses[Amount],Fact_Expenses[Date],"&gt;="&amp;EOMONTH(A9,-1)+1,Fact_Expenses[Date],"&lt;="&amp;B9)+SUMIFS(BankImportRaw[AbsAmount],BankImportRaw[TransactionType],"Expense",BankImportRaw[Date],"&gt;="&amp;EOMONTH(A9,-1)+1,BankImportRaw[Date],"&lt;="&amp;B9)</f>
        <v/>
      </c>
      <c r="E9" s="48">
        <f>C9-D9</f>
        <v/>
      </c>
      <c r="F9" s="48">
        <f>SUM($E$2:E9)</f>
        <v/>
      </c>
    </row>
    <row r="10">
      <c r="A10" s="47">
        <f>EDATE(TodayDate,-4)</f>
        <v/>
      </c>
      <c r="B10" s="37">
        <f>EOMONTH(A10,0)</f>
        <v/>
      </c>
      <c r="C10" s="48">
        <f>SUMIFS(Fact_Income[NetAmount],Fact_Income[Date],"&gt;="&amp;EOMONTH(A10,-1)+1,Fact_Income[Date],"&lt;="&amp;B10)+SUMIFS(BankImportRaw[AbsAmount],BankImportRaw[TransactionType],"Income",BankImportRaw[Date],"&gt;="&amp;EOMONTH(A10,-1)+1,BankImportRaw[Date],"&lt;="&amp;B10)</f>
        <v/>
      </c>
      <c r="D10" s="48">
        <f>SUMIFS(Fact_Expenses[Amount],Fact_Expenses[Date],"&gt;="&amp;EOMONTH(A10,-1)+1,Fact_Expenses[Date],"&lt;="&amp;B10)+SUMIFS(BankImportRaw[AbsAmount],BankImportRaw[TransactionType],"Expense",BankImportRaw[Date],"&gt;="&amp;EOMONTH(A10,-1)+1,BankImportRaw[Date],"&lt;="&amp;B10)</f>
        <v/>
      </c>
      <c r="E10" s="48">
        <f>C10-D10</f>
        <v/>
      </c>
      <c r="F10" s="48">
        <f>SUM($E$2:E10)</f>
        <v/>
      </c>
    </row>
    <row r="11">
      <c r="A11" s="47">
        <f>EDATE(TodayDate,-3)</f>
        <v/>
      </c>
      <c r="B11" s="37">
        <f>EOMONTH(A11,0)</f>
        <v/>
      </c>
      <c r="C11" s="48">
        <f>SUMIFS(Fact_Income[NetAmount],Fact_Income[Date],"&gt;="&amp;EOMONTH(A11,-1)+1,Fact_Income[Date],"&lt;="&amp;B11)+SUMIFS(BankImportRaw[AbsAmount],BankImportRaw[TransactionType],"Income",BankImportRaw[Date],"&gt;="&amp;EOMONTH(A11,-1)+1,BankImportRaw[Date],"&lt;="&amp;B11)</f>
        <v/>
      </c>
      <c r="D11" s="48">
        <f>SUMIFS(Fact_Expenses[Amount],Fact_Expenses[Date],"&gt;="&amp;EOMONTH(A11,-1)+1,Fact_Expenses[Date],"&lt;="&amp;B11)+SUMIFS(BankImportRaw[AbsAmount],BankImportRaw[TransactionType],"Expense",BankImportRaw[Date],"&gt;="&amp;EOMONTH(A11,-1)+1,BankImportRaw[Date],"&lt;="&amp;B11)</f>
        <v/>
      </c>
      <c r="E11" s="48">
        <f>C11-D11</f>
        <v/>
      </c>
      <c r="F11" s="48">
        <f>SUM($E$2:E11)</f>
        <v/>
      </c>
    </row>
    <row r="12">
      <c r="A12" s="47">
        <f>EDATE(TodayDate,-2)</f>
        <v/>
      </c>
      <c r="B12" s="37">
        <f>EOMONTH(A12,0)</f>
        <v/>
      </c>
      <c r="C12" s="48">
        <f>SUMIFS(Fact_Income[NetAmount],Fact_Income[Date],"&gt;="&amp;EOMONTH(A12,-1)+1,Fact_Income[Date],"&lt;="&amp;B12)+SUMIFS(BankImportRaw[AbsAmount],BankImportRaw[TransactionType],"Income",BankImportRaw[Date],"&gt;="&amp;EOMONTH(A12,-1)+1,BankImportRaw[Date],"&lt;="&amp;B12)</f>
        <v/>
      </c>
      <c r="D12" s="48">
        <f>SUMIFS(Fact_Expenses[Amount],Fact_Expenses[Date],"&gt;="&amp;EOMONTH(A12,-1)+1,Fact_Expenses[Date],"&lt;="&amp;B12)+SUMIFS(BankImportRaw[AbsAmount],BankImportRaw[TransactionType],"Expense",BankImportRaw[Date],"&gt;="&amp;EOMONTH(A12,-1)+1,BankImportRaw[Date],"&lt;="&amp;B12)</f>
        <v/>
      </c>
      <c r="E12" s="48">
        <f>C12-D12</f>
        <v/>
      </c>
      <c r="F12" s="48">
        <f>SUM($E$2:E12)</f>
        <v/>
      </c>
    </row>
    <row r="13">
      <c r="A13" s="47">
        <f>EDATE(TodayDate,-1)</f>
        <v/>
      </c>
      <c r="B13" s="37">
        <f>EOMONTH(A13,0)</f>
        <v/>
      </c>
      <c r="C13" s="48">
        <f>SUMIFS(Fact_Income[NetAmount],Fact_Income[Date],"&gt;="&amp;EOMONTH(A13,-1)+1,Fact_Income[Date],"&lt;="&amp;B13)+SUMIFS(BankImportRaw[AbsAmount],BankImportRaw[TransactionType],"Income",BankImportRaw[Date],"&gt;="&amp;EOMONTH(A13,-1)+1,BankImportRaw[Date],"&lt;="&amp;B13)</f>
        <v/>
      </c>
      <c r="D13" s="48">
        <f>SUMIFS(Fact_Expenses[Amount],Fact_Expenses[Date],"&gt;="&amp;EOMONTH(A13,-1)+1,Fact_Expenses[Date],"&lt;="&amp;B13)+SUMIFS(BankImportRaw[AbsAmount],BankImportRaw[TransactionType],"Expense",BankImportRaw[Date],"&gt;="&amp;EOMONTH(A13,-1)+1,BankImportRaw[Date],"&lt;="&amp;B13)</f>
        <v/>
      </c>
      <c r="E13" s="48">
        <f>C13-D13</f>
        <v/>
      </c>
      <c r="F13" s="48">
        <f>SUM($E$2:E13)</f>
        <v/>
      </c>
    </row>
    <row r="14">
      <c r="A14" s="47">
        <f>EDATE(TodayDate,0)</f>
        <v/>
      </c>
      <c r="B14" s="37">
        <f>EOMONTH(A14,0)</f>
        <v/>
      </c>
      <c r="C14" s="48">
        <f>SUMIFS(Fact_Income[NetAmount],Fact_Income[Date],"&gt;="&amp;EOMONTH(A14,-1)+1,Fact_Income[Date],"&lt;="&amp;B14)+SUMIFS(BankImportRaw[AbsAmount],BankImportRaw[TransactionType],"Income",BankImportRaw[Date],"&gt;="&amp;EOMONTH(A14,-1)+1,BankImportRaw[Date],"&lt;="&amp;B14)</f>
        <v/>
      </c>
      <c r="D14" s="48">
        <f>SUMIFS(Fact_Expenses[Amount],Fact_Expenses[Date],"&gt;="&amp;EOMONTH(A14,-1)+1,Fact_Expenses[Date],"&lt;="&amp;B14)+SUMIFS(BankImportRaw[AbsAmount],BankImportRaw[TransactionType],"Expense",BankImportRaw[Date],"&gt;="&amp;EOMONTH(A14,-1)+1,BankImportRaw[Date],"&lt;="&amp;B14)</f>
        <v/>
      </c>
      <c r="E14" s="48">
        <f>C14-D14</f>
        <v/>
      </c>
      <c r="F14" s="48">
        <f>SUM($E$2:E14)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2026-07-30T17:05:55Z</dcterms:created>
  <dcterms:modified xsi:type="dcterms:W3CDTF">2026-07-30T17:05:55Z</dcterms:modified>
</cp:coreProperties>
</file>