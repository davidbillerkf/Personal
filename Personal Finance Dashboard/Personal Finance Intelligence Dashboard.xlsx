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Categories" sheetId="8" state="visible" r:id="rId8"/>
    <sheet name="Vendors" sheetId="9" state="visible" r:id="rId9"/>
    <sheet name="Accounts" sheetId="10" state="visible" r:id="rId10"/>
    <sheet name="Settings" sheetId="11" state="visible" r:id="rId11"/>
    <sheet name="Dim_Date" sheetId="12" state="hidden" r:id="rId12"/>
    <sheet name="ChartData" sheetId="13" state="hidden" r:id="rId1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9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'Budget'!$C$11:$C$20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'Budget'!$B$11:$B$20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'Budget'!$A$11:$A$20</f>
            </numRef>
          </cat>
          <val>
            <numRef>
              <f>'Budget'!$C$11:$C$20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4:K514" headerRowCount="1">
  <autoFilter ref="A14:K514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M37" headerRowCount="1">
  <autoFilter ref="A11:M37"/>
  <tableColumns count="13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O197" headerRowCount="1">
  <autoFilter ref="A5:O197"/>
  <tableColumns count="15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3" headerRowCount="1">
  <autoFilter ref="A10:J13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7:G39" headerRowCount="1">
  <autoFilter ref="A17:G39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20" headerRowCount="1">
  <autoFilter ref="A10:G20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17" headerRowCount="1">
  <autoFilter ref="A5:D17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E22" headerRowCount="1">
  <autoFilter ref="A5:E22"/>
  <tableColumns count="5">
    <tableColumn id="1" name="VendorID"/>
    <tableColumn id="2" name="VendorName"/>
    <tableColumn id="3" name="DefaultCategoryID"/>
    <tableColumn id="4" name="CurMonthSpend"/>
    <tableColumn id="5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8" headerRowCount="1">
  <autoFilter ref="A5:D8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Categories'!A1" TargetMode="External" Id="rId6" /><Relationship Type="http://schemas.openxmlformats.org/officeDocument/2006/relationships/hyperlink" Target="#'Vendors'!A1" TargetMode="External" Id="rId7" /><Relationship Type="http://schemas.openxmlformats.org/officeDocument/2006/relationships/hyperlink" Target="#'Account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IFERROR(SUMIFS(Fact_Expenses[Amount],Fact_Expenses[NeedWantFlag],"Need")/SUM(Fact_Expenses[Amount]),0)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1" ht="20" customHeight="1">
      <c r="A91" s="26" t="inlineStr">
        <is>
          <t>Cut-Back Analyzer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0" t="inlineStr">
        <is>
          <t>Category</t>
        </is>
      </c>
      <c r="B92" s="20" t="inlineStr">
        <is>
          <t>Monthly Cost</t>
        </is>
      </c>
      <c r="C92" s="20" t="inlineStr">
        <is>
          <t>Annual Cost</t>
        </is>
      </c>
      <c r="D92" s="20" t="inlineStr">
        <is>
          <t>Potential Savings</t>
        </is>
      </c>
      <c r="E92" s="20" t="inlineStr">
        <is>
          <t>Priority</t>
        </is>
      </c>
      <c r="F92" s="20" t="inlineStr">
        <is>
          <t>Recommendation</t>
        </is>
      </c>
    </row>
    <row r="93">
      <c r="A93" s="21" t="inlineStr">
        <is>
          <t>Dining &amp; Entertainment</t>
        </is>
      </c>
      <c r="B93" s="27">
        <f>SUMIFS(Fact_Expenses[Amount],Fact_Expenses[CategoryName],"Dining &amp; Entertainment",Fact_Expenses[Date],"&gt;="&amp;EOMONTH(TodayDate,-2)+1,Fact_Expenses[Date],"&lt;="&amp;EOMONTH(TodayDate,-1))</f>
        <v/>
      </c>
      <c r="C93" s="27">
        <f>B93*12</f>
        <v/>
      </c>
      <c r="D93" s="27">
        <f>C93*0.3</f>
        <v/>
      </c>
      <c r="E93" s="21">
        <f>RANK(D93,$D$93:$D$96)</f>
        <v/>
      </c>
      <c r="F93" s="28">
        <f>IF(D93&gt;500,"High-impact — consider cutting significantly",IF(D93&gt;150,"Moderate — trim where possible","Low-impact — monitor only"))</f>
        <v/>
      </c>
    </row>
    <row r="94">
      <c r="A94" s="21" t="inlineStr">
        <is>
          <t>Shopping</t>
        </is>
      </c>
      <c r="B94" s="27">
        <f>SUMIFS(Fact_Expenses[Amount],Fact_Expenses[CategoryName],"Shopping",Fact_Expenses[Date],"&gt;="&amp;EOMONTH(TodayDate,-2)+1,Fact_Expenses[Date],"&lt;="&amp;EOMONTH(TodayDate,-1))</f>
        <v/>
      </c>
      <c r="C94" s="27">
        <f>B94*12</f>
        <v/>
      </c>
      <c r="D94" s="27">
        <f>C94*0.3</f>
        <v/>
      </c>
      <c r="E94" s="21">
        <f>RANK(D94,$D$93:$D$96)</f>
        <v/>
      </c>
      <c r="F94" s="28">
        <f>IF(D94&gt;500,"High-impact — consider cutting significantly",IF(D94&gt;150,"Moderate — trim where possible","Low-impact — monitor only"))</f>
        <v/>
      </c>
    </row>
    <row r="95">
      <c r="A95" s="21" t="inlineStr">
        <is>
          <t>Personal Care</t>
        </is>
      </c>
      <c r="B95" s="27">
        <f>SUMIFS(Fact_Expenses[Amount],Fact_Expenses[CategoryName],"Personal Care",Fact_Expenses[Date],"&gt;="&amp;EOMONTH(TodayDate,-2)+1,Fact_Expenses[Date],"&lt;="&amp;EOMONTH(TodayDate,-1))</f>
        <v/>
      </c>
      <c r="C95" s="27">
        <f>B95*12</f>
        <v/>
      </c>
      <c r="D95" s="27">
        <f>C95*0.3</f>
        <v/>
      </c>
      <c r="E95" s="21">
        <f>RANK(D95,$D$93:$D$96)</f>
        <v/>
      </c>
      <c r="F95" s="28">
        <f>IF(D95&gt;500,"High-impact — consider cutting significantly",IF(D95&gt;150,"Moderate — trim where possible","Low-impact — monitor only"))</f>
        <v/>
      </c>
    </row>
    <row r="96">
      <c r="A96" s="21" t="inlineStr">
        <is>
          <t>Non-Essential Wants (all categories)</t>
        </is>
      </c>
      <c r="B96" s="27">
        <f>SUMIFS(Fact_Expenses[Amount],Fact_Expenses[NeedWantFlag],"Want",Fact_Expenses[Date],"&gt;="&amp;EOMONTH(TodayDate,-2)+1,Fact_Expenses[Date],"&lt;="&amp;EOMONTH(TodayDate,-1))</f>
        <v/>
      </c>
      <c r="C96" s="27">
        <f>B96*12</f>
        <v/>
      </c>
      <c r="D96" s="27">
        <f>C96*0.3</f>
        <v/>
      </c>
      <c r="E96" s="21">
        <f>RANK(D96,$D$93:$D$96)</f>
        <v/>
      </c>
      <c r="F96" s="28">
        <f>IF(D96&gt;500,"High-impact — consider cutting significantly",IF(D96&gt;150,"Moderate — trim where possible","Low-impact — monitor only"))</f>
        <v/>
      </c>
    </row>
  </sheetData>
  <mergeCells count="20">
    <mergeCell ref="A5:D5"/>
    <mergeCell ref="I5:L5"/>
    <mergeCell ref="A1:P2"/>
    <mergeCell ref="A91:P91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89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Categories</t>
        </is>
      </c>
      <c r="C18" s="3" t="inlineStr">
        <is>
          <t>Add a new expense/income category</t>
        </is>
      </c>
    </row>
    <row r="19">
      <c r="B19" s="32" t="inlineStr">
        <is>
          <t>Vendors</t>
        </is>
      </c>
      <c r="C19" s="3" t="inlineStr">
        <is>
          <t>Add a new vendor</t>
        </is>
      </c>
    </row>
    <row r="20">
      <c r="B20" s="32" t="inlineStr">
        <is>
          <t>Accounts</t>
        </is>
      </c>
      <c r="C20" s="3" t="inlineStr">
        <is>
          <t>Add a new bank/credit account</t>
        </is>
      </c>
    </row>
    <row r="23">
      <c r="B23" s="30" t="inlineStr">
        <is>
          <t>Adding new categories, vendors, or accounts</t>
        </is>
      </c>
    </row>
    <row r="24" ht="30" customHeight="1">
      <c r="B24" s="31" t="inlineStr">
        <is>
          <t>New category: add a row to Dim_Category on the Categories tab. It appears in every dropdown and report automatically — no formulas anywhere else need to change.</t>
        </is>
      </c>
    </row>
    <row r="25" ht="30" customHeight="1">
      <c r="B25" s="31" t="inlineStr">
        <is>
          <t>New vendor: add a row to Dim_Vendor on the Vendors tab, with its default category.</t>
        </is>
      </c>
    </row>
    <row r="26" ht="30" customHeight="1">
      <c r="B26" s="31" t="inlineStr">
        <is>
          <t>New account: add a row to Dim_Account on the Accounts tab, with its starting Balance.</t>
        </is>
      </c>
    </row>
    <row r="27" ht="30" customHeight="1">
      <c r="B27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29">
      <c r="B29" s="30" t="inlineStr">
        <is>
          <t>Where your data lives</t>
        </is>
      </c>
    </row>
    <row r="30" ht="75" customHeight="1">
      <c r="B30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6:H6"/>
    <mergeCell ref="B24:H24"/>
    <mergeCell ref="B30:H30"/>
    <mergeCell ref="B25:H25"/>
    <mergeCell ref="B7:H7"/>
    <mergeCell ref="B10:H10"/>
    <mergeCell ref="A1:H2"/>
    <mergeCell ref="B5:H5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4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(the first blank row right under the header row)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For each row, pick a Vendor from the dropdown in column D — Category (E) auto-fills from that vendor's default category; override it if needed.</t>
        </is>
      </c>
    </row>
    <row r="9" ht="30" customHeight="1">
      <c r="A9" s="31" t="inlineStr">
        <is>
          <t>5. Column H tells you Expense or Income and column I gives the positive amount to enter. Copy the finished rows (Date, Vendor, Category, Account, Payment Method, AbsAmount, Notes) into the Expenses tab (or Income tab for deposits/paychecks), then delete the pasted rows here so this stays a scratch area for the next import.</t>
        </is>
      </c>
    </row>
    <row r="11" ht="40" customHeight="1">
      <c r="A11" s="19" t="inlineStr">
        <is>
          <t>Sign Convention for this import:</t>
        </is>
      </c>
      <c r="D11" s="34" t="inlineStr">
        <is>
          <t>Negative = Expense</t>
        </is>
      </c>
      <c r="E11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3" ht="20" customHeight="1">
      <c r="A13" s="26" t="inlineStr">
        <is>
          <t>Paste your CSV's Date / Description / Amount into columns A-C, then set Vendor in D for each row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36" t="inlineStr">
        <is>
          <t>Date</t>
        </is>
      </c>
      <c r="B14" s="36" t="inlineStr">
        <is>
          <t>Description</t>
        </is>
      </c>
      <c r="C14" s="36" t="inlineStr">
        <is>
          <t>Amount</t>
        </is>
      </c>
      <c r="D14" s="36" t="inlineStr">
        <is>
          <t>VendorName</t>
        </is>
      </c>
      <c r="E14" s="36" t="inlineStr">
        <is>
          <t>CategoryName</t>
        </is>
      </c>
      <c r="F14" s="36" t="inlineStr">
        <is>
          <t>AccountName</t>
        </is>
      </c>
      <c r="G14" s="36" t="inlineStr">
        <is>
          <t>PaymentMethod</t>
        </is>
      </c>
      <c r="H14" s="36" t="inlineStr">
        <is>
          <t>TransactionType</t>
        </is>
      </c>
      <c r="I14" s="36" t="inlineStr">
        <is>
          <t>AbsAmount</t>
        </is>
      </c>
      <c r="J14" s="36" t="inlineStr">
        <is>
          <t>NeedWantFlag</t>
        </is>
      </c>
      <c r="K14" s="36" t="inlineStr">
        <is>
          <t>Notes</t>
        </is>
      </c>
    </row>
    <row r="15">
      <c r="A15" s="37" t="n"/>
      <c r="C15" s="27" t="n"/>
      <c r="E15">
        <f>IFERROR(INDEX(Dim_Category[CategoryName],MATCH(INDEX(Dim_Vendor[DefaultCategoryID],MATCH($D15,Dim_Vendor[VendorName],0)),Dim_Category[CategoryID],0)),"")</f>
        <v/>
      </c>
      <c r="H15">
        <f>IF($C15="","",IF(SignConvention="Negative = Expense",IF($C15&lt;0,"Expense","Income"),IF($C15&gt;0,"Expense","Income")))</f>
        <v/>
      </c>
      <c r="I15" s="27">
        <f>IF($C15="","",ABS($C15))</f>
        <v/>
      </c>
    </row>
    <row r="16">
      <c r="A16" s="37" t="n"/>
      <c r="C16" s="27" t="n"/>
      <c r="E16">
        <f>IFERROR(INDEX(Dim_Category[CategoryName],MATCH(INDEX(Dim_Vendor[DefaultCategoryID],MATCH($D16,Dim_Vendor[VendorName],0)),Dim_Category[CategoryID],0)),"")</f>
        <v/>
      </c>
      <c r="H16">
        <f>IF($C16="","",IF(SignConvention="Negative = Expense",IF($C16&lt;0,"Expense","Income"),IF($C16&gt;0,"Expense","Income")))</f>
        <v/>
      </c>
      <c r="I16" s="27">
        <f>IF($C16="","",ABS($C16))</f>
        <v/>
      </c>
    </row>
    <row r="17">
      <c r="A17" s="37" t="n"/>
      <c r="C17" s="27" t="n"/>
      <c r="E17">
        <f>IFERROR(INDEX(Dim_Category[CategoryName],MATCH(INDEX(Dim_Vendor[DefaultCategoryID],MATCH($D17,Dim_Vendor[VendorName],0)),Dim_Category[CategoryID],0)),"")</f>
        <v/>
      </c>
      <c r="H17">
        <f>IF($C17="","",IF(SignConvention="Negative = Expense",IF($C17&lt;0,"Expense","Income"),IF($C17&gt;0,"Expense","Income")))</f>
        <v/>
      </c>
      <c r="I17" s="27">
        <f>IF($C17="","",ABS($C17))</f>
        <v/>
      </c>
    </row>
    <row r="18">
      <c r="A18" s="37" t="n"/>
      <c r="C18" s="27" t="n"/>
      <c r="E18">
        <f>IFERROR(INDEX(Dim_Category[CategoryName],MATCH(INDEX(Dim_Vendor[DefaultCategoryID],MATCH($D18,Dim_Vendor[VendorName],0)),Dim_Category[CategoryID],0)),"")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E19">
        <f>IFERROR(INDEX(Dim_Category[CategoryName],MATCH(INDEX(Dim_Vendor[DefaultCategoryID],MATCH($D19,Dim_Vendor[VendorName],0)),Dim_Category[CategoryID],0)),"")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E20">
        <f>IFERROR(INDEX(Dim_Category[CategoryName],MATCH(INDEX(Dim_Vendor[DefaultCategoryID],MATCH($D20,Dim_Vendor[VendorName],0)),Dim_Category[CategoryID],0)),"")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E21">
        <f>IFERROR(INDEX(Dim_Category[CategoryName],MATCH(INDEX(Dim_Vendor[DefaultCategoryID],MATCH($D21,Dim_Vendor[VendorName],0)),Dim_Category[CategoryID],0)),"")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E22">
        <f>IFERROR(INDEX(Dim_Category[CategoryName],MATCH(INDEX(Dim_Vendor[DefaultCategoryID],MATCH($D22,Dim_Vendor[VendorName],0)),Dim_Category[CategoryID],0)),"")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E23">
        <f>IFERROR(INDEX(Dim_Category[CategoryName],MATCH(INDEX(Dim_Vendor[DefaultCategoryID],MATCH($D23,Dim_Vendor[VendorName],0)),Dim_Category[CategoryID],0)),"")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E24">
        <f>IFERROR(INDEX(Dim_Category[CategoryName],MATCH(INDEX(Dim_Vendor[DefaultCategoryID],MATCH($D24,Dim_Vendor[VendorName],0)),Dim_Category[CategoryID],0)),"")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E25">
        <f>IFERROR(INDEX(Dim_Category[CategoryName],MATCH(INDEX(Dim_Vendor[DefaultCategoryID],MATCH($D25,Dim_Vendor[VendorName],0)),Dim_Category[CategoryID],0)),"")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E26">
        <f>IFERROR(INDEX(Dim_Category[CategoryName],MATCH(INDEX(Dim_Vendor[DefaultCategoryID],MATCH($D26,Dim_Vendor[VendorName],0)),Dim_Category[CategoryID],0)),"")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E27">
        <f>IFERROR(INDEX(Dim_Category[CategoryName],MATCH(INDEX(Dim_Vendor[DefaultCategoryID],MATCH($D27,Dim_Vendor[VendorName],0)),Dim_Category[CategoryID],0)),"")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E28">
        <f>IFERROR(INDEX(Dim_Category[CategoryName],MATCH(INDEX(Dim_Vendor[DefaultCategoryID],MATCH($D28,Dim_Vendor[VendorName],0)),Dim_Category[CategoryID],0)),"")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E29">
        <f>IFERROR(INDEX(Dim_Category[CategoryName],MATCH(INDEX(Dim_Vendor[DefaultCategoryID],MATCH($D29,Dim_Vendor[VendorName],0)),Dim_Category[CategoryID],0)),"")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E30">
        <f>IFERROR(INDEX(Dim_Category[CategoryName],MATCH(INDEX(Dim_Vendor[DefaultCategoryID],MATCH($D30,Dim_Vendor[VendorName],0)),Dim_Category[CategoryID],0)),"")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E31">
        <f>IFERROR(INDEX(Dim_Category[CategoryName],MATCH(INDEX(Dim_Vendor[DefaultCategoryID],MATCH($D31,Dim_Vendor[VendorName],0)),Dim_Category[CategoryID],0)),"")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E32">
        <f>IFERROR(INDEX(Dim_Category[CategoryName],MATCH(INDEX(Dim_Vendor[DefaultCategoryID],MATCH($D32,Dim_Vendor[VendorName],0)),Dim_Category[CategoryID],0)),"")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E33">
        <f>IFERROR(INDEX(Dim_Category[CategoryName],MATCH(INDEX(Dim_Vendor[DefaultCategoryID],MATCH($D33,Dim_Vendor[VendorName],0)),Dim_Category[CategoryID],0)),"")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E34">
        <f>IFERROR(INDEX(Dim_Category[CategoryName],MATCH(INDEX(Dim_Vendor[DefaultCategoryID],MATCH($D34,Dim_Vendor[VendorName],0)),Dim_Category[CategoryID],0)),"")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E35">
        <f>IFERROR(INDEX(Dim_Category[CategoryName],MATCH(INDEX(Dim_Vendor[DefaultCategoryID],MATCH($D35,Dim_Vendor[VendorName],0)),Dim_Category[CategoryID],0)),"")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E36">
        <f>IFERROR(INDEX(Dim_Category[CategoryName],MATCH(INDEX(Dim_Vendor[DefaultCategoryID],MATCH($D36,Dim_Vendor[VendorName],0)),Dim_Category[CategoryID],0)),"")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E37">
        <f>IFERROR(INDEX(Dim_Category[CategoryName],MATCH(INDEX(Dim_Vendor[DefaultCategoryID],MATCH($D37,Dim_Vendor[VendorName],0)),Dim_Category[CategoryID],0)),"")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E38">
        <f>IFERROR(INDEX(Dim_Category[CategoryName],MATCH(INDEX(Dim_Vendor[DefaultCategoryID],MATCH($D38,Dim_Vendor[VendorName],0)),Dim_Category[CategoryID],0)),"")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E39">
        <f>IFERROR(INDEX(Dim_Category[CategoryName],MATCH(INDEX(Dim_Vendor[DefaultCategoryID],MATCH($D39,Dim_Vendor[VendorName],0)),Dim_Category[CategoryID],0)),"")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E40">
        <f>IFERROR(INDEX(Dim_Category[CategoryName],MATCH(INDEX(Dim_Vendor[DefaultCategoryID],MATCH($D40,Dim_Vendor[VendorName],0)),Dim_Category[CategoryID],0)),"")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E41">
        <f>IFERROR(INDEX(Dim_Category[CategoryName],MATCH(INDEX(Dim_Vendor[DefaultCategoryID],MATCH($D41,Dim_Vendor[VendorName],0)),Dim_Category[CategoryID],0)),"")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E42">
        <f>IFERROR(INDEX(Dim_Category[CategoryName],MATCH(INDEX(Dim_Vendor[DefaultCategoryID],MATCH($D42,Dim_Vendor[VendorName],0)),Dim_Category[CategoryID],0)),"")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E43">
        <f>IFERROR(INDEX(Dim_Category[CategoryName],MATCH(INDEX(Dim_Vendor[DefaultCategoryID],MATCH($D43,Dim_Vendor[VendorName],0)),Dim_Category[CategoryID],0)),"")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E44">
        <f>IFERROR(INDEX(Dim_Category[CategoryName],MATCH(INDEX(Dim_Vendor[DefaultCategoryID],MATCH($D44,Dim_Vendor[VendorName],0)),Dim_Category[CategoryID],0)),"")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E45">
        <f>IFERROR(INDEX(Dim_Category[CategoryName],MATCH(INDEX(Dim_Vendor[DefaultCategoryID],MATCH($D45,Dim_Vendor[VendorName],0)),Dim_Category[CategoryID],0)),"")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E46">
        <f>IFERROR(INDEX(Dim_Category[CategoryName],MATCH(INDEX(Dim_Vendor[DefaultCategoryID],MATCH($D46,Dim_Vendor[VendorName],0)),Dim_Category[CategoryID],0)),"")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E47">
        <f>IFERROR(INDEX(Dim_Category[CategoryName],MATCH(INDEX(Dim_Vendor[DefaultCategoryID],MATCH($D47,Dim_Vendor[VendorName],0)),Dim_Category[CategoryID],0)),"")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E48">
        <f>IFERROR(INDEX(Dim_Category[CategoryName],MATCH(INDEX(Dim_Vendor[DefaultCategoryID],MATCH($D48,Dim_Vendor[VendorName],0)),Dim_Category[CategoryID],0)),"")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E49">
        <f>IFERROR(INDEX(Dim_Category[CategoryName],MATCH(INDEX(Dim_Vendor[DefaultCategoryID],MATCH($D49,Dim_Vendor[VendorName],0)),Dim_Category[CategoryID],0)),"")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E50">
        <f>IFERROR(INDEX(Dim_Category[CategoryName],MATCH(INDEX(Dim_Vendor[DefaultCategoryID],MATCH($D50,Dim_Vendor[VendorName],0)),Dim_Category[CategoryID],0)),"")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E51">
        <f>IFERROR(INDEX(Dim_Category[CategoryName],MATCH(INDEX(Dim_Vendor[DefaultCategoryID],MATCH($D51,Dim_Vendor[VendorName],0)),Dim_Category[CategoryID],0)),"")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E52">
        <f>IFERROR(INDEX(Dim_Category[CategoryName],MATCH(INDEX(Dim_Vendor[DefaultCategoryID],MATCH($D52,Dim_Vendor[VendorName],0)),Dim_Category[CategoryID],0)),"")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E53">
        <f>IFERROR(INDEX(Dim_Category[CategoryName],MATCH(INDEX(Dim_Vendor[DefaultCategoryID],MATCH($D53,Dim_Vendor[VendorName],0)),Dim_Category[CategoryID],0)),"")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E54">
        <f>IFERROR(INDEX(Dim_Category[CategoryName],MATCH(INDEX(Dim_Vendor[DefaultCategoryID],MATCH($D54,Dim_Vendor[VendorName],0)),Dim_Category[CategoryID],0)),"")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E55">
        <f>IFERROR(INDEX(Dim_Category[CategoryName],MATCH(INDEX(Dim_Vendor[DefaultCategoryID],MATCH($D55,Dim_Vendor[VendorName],0)),Dim_Category[CategoryID],0)),"")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E56">
        <f>IFERROR(INDEX(Dim_Category[CategoryName],MATCH(INDEX(Dim_Vendor[DefaultCategoryID],MATCH($D56,Dim_Vendor[VendorName],0)),Dim_Category[CategoryID],0)),"")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E57">
        <f>IFERROR(INDEX(Dim_Category[CategoryName],MATCH(INDEX(Dim_Vendor[DefaultCategoryID],MATCH($D57,Dim_Vendor[VendorName],0)),Dim_Category[CategoryID],0)),"")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E58">
        <f>IFERROR(INDEX(Dim_Category[CategoryName],MATCH(INDEX(Dim_Vendor[DefaultCategoryID],MATCH($D58,Dim_Vendor[VendorName],0)),Dim_Category[CategoryID],0)),"")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E59">
        <f>IFERROR(INDEX(Dim_Category[CategoryName],MATCH(INDEX(Dim_Vendor[DefaultCategoryID],MATCH($D59,Dim_Vendor[VendorName],0)),Dim_Category[CategoryID],0)),"")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E60">
        <f>IFERROR(INDEX(Dim_Category[CategoryName],MATCH(INDEX(Dim_Vendor[DefaultCategoryID],MATCH($D60,Dim_Vendor[VendorName],0)),Dim_Category[CategoryID],0)),"")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E61">
        <f>IFERROR(INDEX(Dim_Category[CategoryName],MATCH(INDEX(Dim_Vendor[DefaultCategoryID],MATCH($D61,Dim_Vendor[VendorName],0)),Dim_Category[CategoryID],0)),"")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E62">
        <f>IFERROR(INDEX(Dim_Category[CategoryName],MATCH(INDEX(Dim_Vendor[DefaultCategoryID],MATCH($D62,Dim_Vendor[VendorName],0)),Dim_Category[CategoryID],0)),"")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E63">
        <f>IFERROR(INDEX(Dim_Category[CategoryName],MATCH(INDEX(Dim_Vendor[DefaultCategoryID],MATCH($D63,Dim_Vendor[VendorName],0)),Dim_Category[CategoryID],0)),"")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E64">
        <f>IFERROR(INDEX(Dim_Category[CategoryName],MATCH(INDEX(Dim_Vendor[DefaultCategoryID],MATCH($D64,Dim_Vendor[VendorName],0)),Dim_Category[CategoryID],0)),"")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E65">
        <f>IFERROR(INDEX(Dim_Category[CategoryName],MATCH(INDEX(Dim_Vendor[DefaultCategoryID],MATCH($D65,Dim_Vendor[VendorName],0)),Dim_Category[CategoryID],0)),"")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E66">
        <f>IFERROR(INDEX(Dim_Category[CategoryName],MATCH(INDEX(Dim_Vendor[DefaultCategoryID],MATCH($D66,Dim_Vendor[VendorName],0)),Dim_Category[CategoryID],0)),"")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E67">
        <f>IFERROR(INDEX(Dim_Category[CategoryName],MATCH(INDEX(Dim_Vendor[DefaultCategoryID],MATCH($D67,Dim_Vendor[VendorName],0)),Dim_Category[CategoryID],0)),"")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E68">
        <f>IFERROR(INDEX(Dim_Category[CategoryName],MATCH(INDEX(Dim_Vendor[DefaultCategoryID],MATCH($D68,Dim_Vendor[VendorName],0)),Dim_Category[CategoryID],0)),"")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E69">
        <f>IFERROR(INDEX(Dim_Category[CategoryName],MATCH(INDEX(Dim_Vendor[DefaultCategoryID],MATCH($D69,Dim_Vendor[VendorName],0)),Dim_Category[CategoryID],0)),"")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E70">
        <f>IFERROR(INDEX(Dim_Category[CategoryName],MATCH(INDEX(Dim_Vendor[DefaultCategoryID],MATCH($D70,Dim_Vendor[VendorName],0)),Dim_Category[CategoryID],0)),"")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E71">
        <f>IFERROR(INDEX(Dim_Category[CategoryName],MATCH(INDEX(Dim_Vendor[DefaultCategoryID],MATCH($D71,Dim_Vendor[VendorName],0)),Dim_Category[CategoryID],0)),"")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E72">
        <f>IFERROR(INDEX(Dim_Category[CategoryName],MATCH(INDEX(Dim_Vendor[DefaultCategoryID],MATCH($D72,Dim_Vendor[VendorName],0)),Dim_Category[CategoryID],0)),"")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E73">
        <f>IFERROR(INDEX(Dim_Category[CategoryName],MATCH(INDEX(Dim_Vendor[DefaultCategoryID],MATCH($D73,Dim_Vendor[VendorName],0)),Dim_Category[CategoryID],0)),"")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E74">
        <f>IFERROR(INDEX(Dim_Category[CategoryName],MATCH(INDEX(Dim_Vendor[DefaultCategoryID],MATCH($D74,Dim_Vendor[VendorName],0)),Dim_Category[CategoryID],0)),"")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E75">
        <f>IFERROR(INDEX(Dim_Category[CategoryName],MATCH(INDEX(Dim_Vendor[DefaultCategoryID],MATCH($D75,Dim_Vendor[VendorName],0)),Dim_Category[CategoryID],0)),"")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E76">
        <f>IFERROR(INDEX(Dim_Category[CategoryName],MATCH(INDEX(Dim_Vendor[DefaultCategoryID],MATCH($D76,Dim_Vendor[VendorName],0)),Dim_Category[CategoryID],0)),"")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E77">
        <f>IFERROR(INDEX(Dim_Category[CategoryName],MATCH(INDEX(Dim_Vendor[DefaultCategoryID],MATCH($D77,Dim_Vendor[VendorName],0)),Dim_Category[CategoryID],0)),"")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E78">
        <f>IFERROR(INDEX(Dim_Category[CategoryName],MATCH(INDEX(Dim_Vendor[DefaultCategoryID],MATCH($D78,Dim_Vendor[VendorName],0)),Dim_Category[CategoryID],0)),"")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E79">
        <f>IFERROR(INDEX(Dim_Category[CategoryName],MATCH(INDEX(Dim_Vendor[DefaultCategoryID],MATCH($D79,Dim_Vendor[VendorName],0)),Dim_Category[CategoryID],0)),"")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E80">
        <f>IFERROR(INDEX(Dim_Category[CategoryName],MATCH(INDEX(Dim_Vendor[DefaultCategoryID],MATCH($D80,Dim_Vendor[VendorName],0)),Dim_Category[CategoryID],0)),"")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E81">
        <f>IFERROR(INDEX(Dim_Category[CategoryName],MATCH(INDEX(Dim_Vendor[DefaultCategoryID],MATCH($D81,Dim_Vendor[VendorName],0)),Dim_Category[CategoryID],0)),"")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E82">
        <f>IFERROR(INDEX(Dim_Category[CategoryName],MATCH(INDEX(Dim_Vendor[DefaultCategoryID],MATCH($D82,Dim_Vendor[VendorName],0)),Dim_Category[CategoryID],0)),"")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E83">
        <f>IFERROR(INDEX(Dim_Category[CategoryName],MATCH(INDEX(Dim_Vendor[DefaultCategoryID],MATCH($D83,Dim_Vendor[VendorName],0)),Dim_Category[CategoryID],0)),"")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E84">
        <f>IFERROR(INDEX(Dim_Category[CategoryName],MATCH(INDEX(Dim_Vendor[DefaultCategoryID],MATCH($D84,Dim_Vendor[VendorName],0)),Dim_Category[CategoryID],0)),"")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E85">
        <f>IFERROR(INDEX(Dim_Category[CategoryName],MATCH(INDEX(Dim_Vendor[DefaultCategoryID],MATCH($D85,Dim_Vendor[VendorName],0)),Dim_Category[CategoryID],0)),"")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E86">
        <f>IFERROR(INDEX(Dim_Category[CategoryName],MATCH(INDEX(Dim_Vendor[DefaultCategoryID],MATCH($D86,Dim_Vendor[VendorName],0)),Dim_Category[CategoryID],0)),"")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E87">
        <f>IFERROR(INDEX(Dim_Category[CategoryName],MATCH(INDEX(Dim_Vendor[DefaultCategoryID],MATCH($D87,Dim_Vendor[VendorName],0)),Dim_Category[CategoryID],0)),"")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E88">
        <f>IFERROR(INDEX(Dim_Category[CategoryName],MATCH(INDEX(Dim_Vendor[DefaultCategoryID],MATCH($D88,Dim_Vendor[VendorName],0)),Dim_Category[CategoryID],0)),"")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E89">
        <f>IFERROR(INDEX(Dim_Category[CategoryName],MATCH(INDEX(Dim_Vendor[DefaultCategoryID],MATCH($D89,Dim_Vendor[VendorName],0)),Dim_Category[CategoryID],0)),"")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E90">
        <f>IFERROR(INDEX(Dim_Category[CategoryName],MATCH(INDEX(Dim_Vendor[DefaultCategoryID],MATCH($D90,Dim_Vendor[VendorName],0)),Dim_Category[CategoryID],0)),"")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E91">
        <f>IFERROR(INDEX(Dim_Category[CategoryName],MATCH(INDEX(Dim_Vendor[DefaultCategoryID],MATCH($D91,Dim_Vendor[VendorName],0)),Dim_Category[CategoryID],0)),"")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E92">
        <f>IFERROR(INDEX(Dim_Category[CategoryName],MATCH(INDEX(Dim_Vendor[DefaultCategoryID],MATCH($D92,Dim_Vendor[VendorName],0)),Dim_Category[CategoryID],0)),"")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E93">
        <f>IFERROR(INDEX(Dim_Category[CategoryName],MATCH(INDEX(Dim_Vendor[DefaultCategoryID],MATCH($D93,Dim_Vendor[VendorName],0)),Dim_Category[CategoryID],0)),"")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E94">
        <f>IFERROR(INDEX(Dim_Category[CategoryName],MATCH(INDEX(Dim_Vendor[DefaultCategoryID],MATCH($D94,Dim_Vendor[VendorName],0)),Dim_Category[CategoryID],0)),"")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E95">
        <f>IFERROR(INDEX(Dim_Category[CategoryName],MATCH(INDEX(Dim_Vendor[DefaultCategoryID],MATCH($D95,Dim_Vendor[VendorName],0)),Dim_Category[CategoryID],0)),"")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E96">
        <f>IFERROR(INDEX(Dim_Category[CategoryName],MATCH(INDEX(Dim_Vendor[DefaultCategoryID],MATCH($D96,Dim_Vendor[VendorName],0)),Dim_Category[CategoryID],0)),"")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E97">
        <f>IFERROR(INDEX(Dim_Category[CategoryName],MATCH(INDEX(Dim_Vendor[DefaultCategoryID],MATCH($D97,Dim_Vendor[VendorName],0)),Dim_Category[CategoryID],0)),"")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E98">
        <f>IFERROR(INDEX(Dim_Category[CategoryName],MATCH(INDEX(Dim_Vendor[DefaultCategoryID],MATCH($D98,Dim_Vendor[VendorName],0)),Dim_Category[CategoryID],0)),"")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E99">
        <f>IFERROR(INDEX(Dim_Category[CategoryName],MATCH(INDEX(Dim_Vendor[DefaultCategoryID],MATCH($D99,Dim_Vendor[VendorName],0)),Dim_Category[CategoryID],0)),"")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E100">
        <f>IFERROR(INDEX(Dim_Category[CategoryName],MATCH(INDEX(Dim_Vendor[DefaultCategoryID],MATCH($D100,Dim_Vendor[VendorName],0)),Dim_Category[CategoryID],0)),"")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E101">
        <f>IFERROR(INDEX(Dim_Category[CategoryName],MATCH(INDEX(Dim_Vendor[DefaultCategoryID],MATCH($D101,Dim_Vendor[VendorName],0)),Dim_Category[CategoryID],0)),"")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E102">
        <f>IFERROR(INDEX(Dim_Category[CategoryName],MATCH(INDEX(Dim_Vendor[DefaultCategoryID],MATCH($D102,Dim_Vendor[VendorName],0)),Dim_Category[CategoryID],0)),"")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E103">
        <f>IFERROR(INDEX(Dim_Category[CategoryName],MATCH(INDEX(Dim_Vendor[DefaultCategoryID],MATCH($D103,Dim_Vendor[VendorName],0)),Dim_Category[CategoryID],0)),"")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E104">
        <f>IFERROR(INDEX(Dim_Category[CategoryName],MATCH(INDEX(Dim_Vendor[DefaultCategoryID],MATCH($D104,Dim_Vendor[VendorName],0)),Dim_Category[CategoryID],0)),"")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E105">
        <f>IFERROR(INDEX(Dim_Category[CategoryName],MATCH(INDEX(Dim_Vendor[DefaultCategoryID],MATCH($D105,Dim_Vendor[VendorName],0)),Dim_Category[CategoryID],0)),"")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E106">
        <f>IFERROR(INDEX(Dim_Category[CategoryName],MATCH(INDEX(Dim_Vendor[DefaultCategoryID],MATCH($D106,Dim_Vendor[VendorName],0)),Dim_Category[CategoryID],0)),"")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E107">
        <f>IFERROR(INDEX(Dim_Category[CategoryName],MATCH(INDEX(Dim_Vendor[DefaultCategoryID],MATCH($D107,Dim_Vendor[VendorName],0)),Dim_Category[CategoryID],0)),"")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E108">
        <f>IFERROR(INDEX(Dim_Category[CategoryName],MATCH(INDEX(Dim_Vendor[DefaultCategoryID],MATCH($D108,Dim_Vendor[VendorName],0)),Dim_Category[CategoryID],0)),"")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E109">
        <f>IFERROR(INDEX(Dim_Category[CategoryName],MATCH(INDEX(Dim_Vendor[DefaultCategoryID],MATCH($D109,Dim_Vendor[VendorName],0)),Dim_Category[CategoryID],0)),"")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E110">
        <f>IFERROR(INDEX(Dim_Category[CategoryName],MATCH(INDEX(Dim_Vendor[DefaultCategoryID],MATCH($D110,Dim_Vendor[VendorName],0)),Dim_Category[CategoryID],0)),"")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E111">
        <f>IFERROR(INDEX(Dim_Category[CategoryName],MATCH(INDEX(Dim_Vendor[DefaultCategoryID],MATCH($D111,Dim_Vendor[VendorName],0)),Dim_Category[CategoryID],0)),"")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E112">
        <f>IFERROR(INDEX(Dim_Category[CategoryName],MATCH(INDEX(Dim_Vendor[DefaultCategoryID],MATCH($D112,Dim_Vendor[VendorName],0)),Dim_Category[CategoryID],0)),"")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E113">
        <f>IFERROR(INDEX(Dim_Category[CategoryName],MATCH(INDEX(Dim_Vendor[DefaultCategoryID],MATCH($D113,Dim_Vendor[VendorName],0)),Dim_Category[CategoryID],0)),"")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E114">
        <f>IFERROR(INDEX(Dim_Category[CategoryName],MATCH(INDEX(Dim_Vendor[DefaultCategoryID],MATCH($D114,Dim_Vendor[VendorName],0)),Dim_Category[CategoryID],0)),"")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E115">
        <f>IFERROR(INDEX(Dim_Category[CategoryName],MATCH(INDEX(Dim_Vendor[DefaultCategoryID],MATCH($D115,Dim_Vendor[VendorName],0)),Dim_Category[CategoryID],0)),"")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E116">
        <f>IFERROR(INDEX(Dim_Category[CategoryName],MATCH(INDEX(Dim_Vendor[DefaultCategoryID],MATCH($D116,Dim_Vendor[VendorName],0)),Dim_Category[CategoryID],0)),"")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E117">
        <f>IFERROR(INDEX(Dim_Category[CategoryName],MATCH(INDEX(Dim_Vendor[DefaultCategoryID],MATCH($D117,Dim_Vendor[VendorName],0)),Dim_Category[CategoryID],0)),"")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E118">
        <f>IFERROR(INDEX(Dim_Category[CategoryName],MATCH(INDEX(Dim_Vendor[DefaultCategoryID],MATCH($D118,Dim_Vendor[VendorName],0)),Dim_Category[CategoryID],0)),"")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E119">
        <f>IFERROR(INDEX(Dim_Category[CategoryName],MATCH(INDEX(Dim_Vendor[DefaultCategoryID],MATCH($D119,Dim_Vendor[VendorName],0)),Dim_Category[CategoryID],0)),"")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E120">
        <f>IFERROR(INDEX(Dim_Category[CategoryName],MATCH(INDEX(Dim_Vendor[DefaultCategoryID],MATCH($D120,Dim_Vendor[VendorName],0)),Dim_Category[CategoryID],0)),"")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E121">
        <f>IFERROR(INDEX(Dim_Category[CategoryName],MATCH(INDEX(Dim_Vendor[DefaultCategoryID],MATCH($D121,Dim_Vendor[VendorName],0)),Dim_Category[CategoryID],0)),"")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E122">
        <f>IFERROR(INDEX(Dim_Category[CategoryName],MATCH(INDEX(Dim_Vendor[DefaultCategoryID],MATCH($D122,Dim_Vendor[VendorName],0)),Dim_Category[CategoryID],0)),"")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E123">
        <f>IFERROR(INDEX(Dim_Category[CategoryName],MATCH(INDEX(Dim_Vendor[DefaultCategoryID],MATCH($D123,Dim_Vendor[VendorName],0)),Dim_Category[CategoryID],0)),"")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E124">
        <f>IFERROR(INDEX(Dim_Category[CategoryName],MATCH(INDEX(Dim_Vendor[DefaultCategoryID],MATCH($D124,Dim_Vendor[VendorName],0)),Dim_Category[CategoryID],0)),"")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E125">
        <f>IFERROR(INDEX(Dim_Category[CategoryName],MATCH(INDEX(Dim_Vendor[DefaultCategoryID],MATCH($D125,Dim_Vendor[VendorName],0)),Dim_Category[CategoryID],0)),"")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E126">
        <f>IFERROR(INDEX(Dim_Category[CategoryName],MATCH(INDEX(Dim_Vendor[DefaultCategoryID],MATCH($D126,Dim_Vendor[VendorName],0)),Dim_Category[CategoryID],0)),"")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E127">
        <f>IFERROR(INDEX(Dim_Category[CategoryName],MATCH(INDEX(Dim_Vendor[DefaultCategoryID],MATCH($D127,Dim_Vendor[VendorName],0)),Dim_Category[CategoryID],0)),"")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E128">
        <f>IFERROR(INDEX(Dim_Category[CategoryName],MATCH(INDEX(Dim_Vendor[DefaultCategoryID],MATCH($D128,Dim_Vendor[VendorName],0)),Dim_Category[CategoryID],0)),"")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E129">
        <f>IFERROR(INDEX(Dim_Category[CategoryName],MATCH(INDEX(Dim_Vendor[DefaultCategoryID],MATCH($D129,Dim_Vendor[VendorName],0)),Dim_Category[CategoryID],0)),"")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E130">
        <f>IFERROR(INDEX(Dim_Category[CategoryName],MATCH(INDEX(Dim_Vendor[DefaultCategoryID],MATCH($D130,Dim_Vendor[VendorName],0)),Dim_Category[CategoryID],0)),"")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E131">
        <f>IFERROR(INDEX(Dim_Category[CategoryName],MATCH(INDEX(Dim_Vendor[DefaultCategoryID],MATCH($D131,Dim_Vendor[VendorName],0)),Dim_Category[CategoryID],0)),"")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E132">
        <f>IFERROR(INDEX(Dim_Category[CategoryName],MATCH(INDEX(Dim_Vendor[DefaultCategoryID],MATCH($D132,Dim_Vendor[VendorName],0)),Dim_Category[CategoryID],0)),"")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E133">
        <f>IFERROR(INDEX(Dim_Category[CategoryName],MATCH(INDEX(Dim_Vendor[DefaultCategoryID],MATCH($D133,Dim_Vendor[VendorName],0)),Dim_Category[CategoryID],0)),"")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E134">
        <f>IFERROR(INDEX(Dim_Category[CategoryName],MATCH(INDEX(Dim_Vendor[DefaultCategoryID],MATCH($D134,Dim_Vendor[VendorName],0)),Dim_Category[CategoryID],0)),"")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E135">
        <f>IFERROR(INDEX(Dim_Category[CategoryName],MATCH(INDEX(Dim_Vendor[DefaultCategoryID],MATCH($D135,Dim_Vendor[VendorName],0)),Dim_Category[CategoryID],0)),"")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E136">
        <f>IFERROR(INDEX(Dim_Category[CategoryName],MATCH(INDEX(Dim_Vendor[DefaultCategoryID],MATCH($D136,Dim_Vendor[VendorName],0)),Dim_Category[CategoryID],0)),"")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E137">
        <f>IFERROR(INDEX(Dim_Category[CategoryName],MATCH(INDEX(Dim_Vendor[DefaultCategoryID],MATCH($D137,Dim_Vendor[VendorName],0)),Dim_Category[CategoryID],0)),"")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E138">
        <f>IFERROR(INDEX(Dim_Category[CategoryName],MATCH(INDEX(Dim_Vendor[DefaultCategoryID],MATCH($D138,Dim_Vendor[VendorName],0)),Dim_Category[CategoryID],0)),"")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E139">
        <f>IFERROR(INDEX(Dim_Category[CategoryName],MATCH(INDEX(Dim_Vendor[DefaultCategoryID],MATCH($D139,Dim_Vendor[VendorName],0)),Dim_Category[CategoryID],0)),"")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E140">
        <f>IFERROR(INDEX(Dim_Category[CategoryName],MATCH(INDEX(Dim_Vendor[DefaultCategoryID],MATCH($D140,Dim_Vendor[VendorName],0)),Dim_Category[CategoryID],0)),"")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E141">
        <f>IFERROR(INDEX(Dim_Category[CategoryName],MATCH(INDEX(Dim_Vendor[DefaultCategoryID],MATCH($D141,Dim_Vendor[VendorName],0)),Dim_Category[CategoryID],0)),"")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E142">
        <f>IFERROR(INDEX(Dim_Category[CategoryName],MATCH(INDEX(Dim_Vendor[DefaultCategoryID],MATCH($D142,Dim_Vendor[VendorName],0)),Dim_Category[CategoryID],0)),"")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E143">
        <f>IFERROR(INDEX(Dim_Category[CategoryName],MATCH(INDEX(Dim_Vendor[DefaultCategoryID],MATCH($D143,Dim_Vendor[VendorName],0)),Dim_Category[CategoryID],0)),"")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E144">
        <f>IFERROR(INDEX(Dim_Category[CategoryName],MATCH(INDEX(Dim_Vendor[DefaultCategoryID],MATCH($D144,Dim_Vendor[VendorName],0)),Dim_Category[CategoryID],0)),"")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E145">
        <f>IFERROR(INDEX(Dim_Category[CategoryName],MATCH(INDEX(Dim_Vendor[DefaultCategoryID],MATCH($D145,Dim_Vendor[VendorName],0)),Dim_Category[CategoryID],0)),"")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E146">
        <f>IFERROR(INDEX(Dim_Category[CategoryName],MATCH(INDEX(Dim_Vendor[DefaultCategoryID],MATCH($D146,Dim_Vendor[VendorName],0)),Dim_Category[CategoryID],0)),"")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E147">
        <f>IFERROR(INDEX(Dim_Category[CategoryName],MATCH(INDEX(Dim_Vendor[DefaultCategoryID],MATCH($D147,Dim_Vendor[VendorName],0)),Dim_Category[CategoryID],0)),"")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E148">
        <f>IFERROR(INDEX(Dim_Category[CategoryName],MATCH(INDEX(Dim_Vendor[DefaultCategoryID],MATCH($D148,Dim_Vendor[VendorName],0)),Dim_Category[CategoryID],0)),"")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E149">
        <f>IFERROR(INDEX(Dim_Category[CategoryName],MATCH(INDEX(Dim_Vendor[DefaultCategoryID],MATCH($D149,Dim_Vendor[VendorName],0)),Dim_Category[CategoryID],0)),"")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E150">
        <f>IFERROR(INDEX(Dim_Category[CategoryName],MATCH(INDEX(Dim_Vendor[DefaultCategoryID],MATCH($D150,Dim_Vendor[VendorName],0)),Dim_Category[CategoryID],0)),"")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E151">
        <f>IFERROR(INDEX(Dim_Category[CategoryName],MATCH(INDEX(Dim_Vendor[DefaultCategoryID],MATCH($D151,Dim_Vendor[VendorName],0)),Dim_Category[CategoryID],0)),"")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E152">
        <f>IFERROR(INDEX(Dim_Category[CategoryName],MATCH(INDEX(Dim_Vendor[DefaultCategoryID],MATCH($D152,Dim_Vendor[VendorName],0)),Dim_Category[CategoryID],0)),"")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E153">
        <f>IFERROR(INDEX(Dim_Category[CategoryName],MATCH(INDEX(Dim_Vendor[DefaultCategoryID],MATCH($D153,Dim_Vendor[VendorName],0)),Dim_Category[CategoryID],0)),"")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E154">
        <f>IFERROR(INDEX(Dim_Category[CategoryName],MATCH(INDEX(Dim_Vendor[DefaultCategoryID],MATCH($D154,Dim_Vendor[VendorName],0)),Dim_Category[CategoryID],0)),"")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E155">
        <f>IFERROR(INDEX(Dim_Category[CategoryName],MATCH(INDEX(Dim_Vendor[DefaultCategoryID],MATCH($D155,Dim_Vendor[VendorName],0)),Dim_Category[CategoryID],0)),"")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E156">
        <f>IFERROR(INDEX(Dim_Category[CategoryName],MATCH(INDEX(Dim_Vendor[DefaultCategoryID],MATCH($D156,Dim_Vendor[VendorName],0)),Dim_Category[CategoryID],0)),"")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E157">
        <f>IFERROR(INDEX(Dim_Category[CategoryName],MATCH(INDEX(Dim_Vendor[DefaultCategoryID],MATCH($D157,Dim_Vendor[VendorName],0)),Dim_Category[CategoryID],0)),"")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E158">
        <f>IFERROR(INDEX(Dim_Category[CategoryName],MATCH(INDEX(Dim_Vendor[DefaultCategoryID],MATCH($D158,Dim_Vendor[VendorName],0)),Dim_Category[CategoryID],0)),"")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E159">
        <f>IFERROR(INDEX(Dim_Category[CategoryName],MATCH(INDEX(Dim_Vendor[DefaultCategoryID],MATCH($D159,Dim_Vendor[VendorName],0)),Dim_Category[CategoryID],0)),"")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E160">
        <f>IFERROR(INDEX(Dim_Category[CategoryName],MATCH(INDEX(Dim_Vendor[DefaultCategoryID],MATCH($D160,Dim_Vendor[VendorName],0)),Dim_Category[CategoryID],0)),"")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E161">
        <f>IFERROR(INDEX(Dim_Category[CategoryName],MATCH(INDEX(Dim_Vendor[DefaultCategoryID],MATCH($D161,Dim_Vendor[VendorName],0)),Dim_Category[CategoryID],0)),"")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E162">
        <f>IFERROR(INDEX(Dim_Category[CategoryName],MATCH(INDEX(Dim_Vendor[DefaultCategoryID],MATCH($D162,Dim_Vendor[VendorName],0)),Dim_Category[CategoryID],0)),"")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E163">
        <f>IFERROR(INDEX(Dim_Category[CategoryName],MATCH(INDEX(Dim_Vendor[DefaultCategoryID],MATCH($D163,Dim_Vendor[VendorName],0)),Dim_Category[CategoryID],0)),"")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E164">
        <f>IFERROR(INDEX(Dim_Category[CategoryName],MATCH(INDEX(Dim_Vendor[DefaultCategoryID],MATCH($D164,Dim_Vendor[VendorName],0)),Dim_Category[CategoryID],0)),"")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E165">
        <f>IFERROR(INDEX(Dim_Category[CategoryName],MATCH(INDEX(Dim_Vendor[DefaultCategoryID],MATCH($D165,Dim_Vendor[VendorName],0)),Dim_Category[CategoryID],0)),"")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E166">
        <f>IFERROR(INDEX(Dim_Category[CategoryName],MATCH(INDEX(Dim_Vendor[DefaultCategoryID],MATCH($D166,Dim_Vendor[VendorName],0)),Dim_Category[CategoryID],0)),"")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E167">
        <f>IFERROR(INDEX(Dim_Category[CategoryName],MATCH(INDEX(Dim_Vendor[DefaultCategoryID],MATCH($D167,Dim_Vendor[VendorName],0)),Dim_Category[CategoryID],0)),"")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E168">
        <f>IFERROR(INDEX(Dim_Category[CategoryName],MATCH(INDEX(Dim_Vendor[DefaultCategoryID],MATCH($D168,Dim_Vendor[VendorName],0)),Dim_Category[CategoryID],0)),"")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E169">
        <f>IFERROR(INDEX(Dim_Category[CategoryName],MATCH(INDEX(Dim_Vendor[DefaultCategoryID],MATCH($D169,Dim_Vendor[VendorName],0)),Dim_Category[CategoryID],0)),"")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E170">
        <f>IFERROR(INDEX(Dim_Category[CategoryName],MATCH(INDEX(Dim_Vendor[DefaultCategoryID],MATCH($D170,Dim_Vendor[VendorName],0)),Dim_Category[CategoryID],0)),"")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E171">
        <f>IFERROR(INDEX(Dim_Category[CategoryName],MATCH(INDEX(Dim_Vendor[DefaultCategoryID],MATCH($D171,Dim_Vendor[VendorName],0)),Dim_Category[CategoryID],0)),"")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E172">
        <f>IFERROR(INDEX(Dim_Category[CategoryName],MATCH(INDEX(Dim_Vendor[DefaultCategoryID],MATCH($D172,Dim_Vendor[VendorName],0)),Dim_Category[CategoryID],0)),"")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E173">
        <f>IFERROR(INDEX(Dim_Category[CategoryName],MATCH(INDEX(Dim_Vendor[DefaultCategoryID],MATCH($D173,Dim_Vendor[VendorName],0)),Dim_Category[CategoryID],0)),"")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E174">
        <f>IFERROR(INDEX(Dim_Category[CategoryName],MATCH(INDEX(Dim_Vendor[DefaultCategoryID],MATCH($D174,Dim_Vendor[VendorName],0)),Dim_Category[CategoryID],0)),"")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E175">
        <f>IFERROR(INDEX(Dim_Category[CategoryName],MATCH(INDEX(Dim_Vendor[DefaultCategoryID],MATCH($D175,Dim_Vendor[VendorName],0)),Dim_Category[CategoryID],0)),"")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E176">
        <f>IFERROR(INDEX(Dim_Category[CategoryName],MATCH(INDEX(Dim_Vendor[DefaultCategoryID],MATCH($D176,Dim_Vendor[VendorName],0)),Dim_Category[CategoryID],0)),"")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E177">
        <f>IFERROR(INDEX(Dim_Category[CategoryName],MATCH(INDEX(Dim_Vendor[DefaultCategoryID],MATCH($D177,Dim_Vendor[VendorName],0)),Dim_Category[CategoryID],0)),"")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E178">
        <f>IFERROR(INDEX(Dim_Category[CategoryName],MATCH(INDEX(Dim_Vendor[DefaultCategoryID],MATCH($D178,Dim_Vendor[VendorName],0)),Dim_Category[CategoryID],0)),"")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E179">
        <f>IFERROR(INDEX(Dim_Category[CategoryName],MATCH(INDEX(Dim_Vendor[DefaultCategoryID],MATCH($D179,Dim_Vendor[VendorName],0)),Dim_Category[CategoryID],0)),"")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E180">
        <f>IFERROR(INDEX(Dim_Category[CategoryName],MATCH(INDEX(Dim_Vendor[DefaultCategoryID],MATCH($D180,Dim_Vendor[VendorName],0)),Dim_Category[CategoryID],0)),"")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E181">
        <f>IFERROR(INDEX(Dim_Category[CategoryName],MATCH(INDEX(Dim_Vendor[DefaultCategoryID],MATCH($D181,Dim_Vendor[VendorName],0)),Dim_Category[CategoryID],0)),"")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E182">
        <f>IFERROR(INDEX(Dim_Category[CategoryName],MATCH(INDEX(Dim_Vendor[DefaultCategoryID],MATCH($D182,Dim_Vendor[VendorName],0)),Dim_Category[CategoryID],0)),"")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E183">
        <f>IFERROR(INDEX(Dim_Category[CategoryName],MATCH(INDEX(Dim_Vendor[DefaultCategoryID],MATCH($D183,Dim_Vendor[VendorName],0)),Dim_Category[CategoryID],0)),"")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E184">
        <f>IFERROR(INDEX(Dim_Category[CategoryName],MATCH(INDEX(Dim_Vendor[DefaultCategoryID],MATCH($D184,Dim_Vendor[VendorName],0)),Dim_Category[CategoryID],0)),"")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E185">
        <f>IFERROR(INDEX(Dim_Category[CategoryName],MATCH(INDEX(Dim_Vendor[DefaultCategoryID],MATCH($D185,Dim_Vendor[VendorName],0)),Dim_Category[CategoryID],0)),"")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E186">
        <f>IFERROR(INDEX(Dim_Category[CategoryName],MATCH(INDEX(Dim_Vendor[DefaultCategoryID],MATCH($D186,Dim_Vendor[VendorName],0)),Dim_Category[CategoryID],0)),"")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E187">
        <f>IFERROR(INDEX(Dim_Category[CategoryName],MATCH(INDEX(Dim_Vendor[DefaultCategoryID],MATCH($D187,Dim_Vendor[VendorName],0)),Dim_Category[CategoryID],0)),"")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E188">
        <f>IFERROR(INDEX(Dim_Category[CategoryName],MATCH(INDEX(Dim_Vendor[DefaultCategoryID],MATCH($D188,Dim_Vendor[VendorName],0)),Dim_Category[CategoryID],0)),"")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E189">
        <f>IFERROR(INDEX(Dim_Category[CategoryName],MATCH(INDEX(Dim_Vendor[DefaultCategoryID],MATCH($D189,Dim_Vendor[VendorName],0)),Dim_Category[CategoryID],0)),"")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E190">
        <f>IFERROR(INDEX(Dim_Category[CategoryName],MATCH(INDEX(Dim_Vendor[DefaultCategoryID],MATCH($D190,Dim_Vendor[VendorName],0)),Dim_Category[CategoryID],0)),"")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E191">
        <f>IFERROR(INDEX(Dim_Category[CategoryName],MATCH(INDEX(Dim_Vendor[DefaultCategoryID],MATCH($D191,Dim_Vendor[VendorName],0)),Dim_Category[CategoryID],0)),"")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E192">
        <f>IFERROR(INDEX(Dim_Category[CategoryName],MATCH(INDEX(Dim_Vendor[DefaultCategoryID],MATCH($D192,Dim_Vendor[VendorName],0)),Dim_Category[CategoryID],0)),"")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E193">
        <f>IFERROR(INDEX(Dim_Category[CategoryName],MATCH(INDEX(Dim_Vendor[DefaultCategoryID],MATCH($D193,Dim_Vendor[VendorName],0)),Dim_Category[CategoryID],0)),"")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E194">
        <f>IFERROR(INDEX(Dim_Category[CategoryName],MATCH(INDEX(Dim_Vendor[DefaultCategoryID],MATCH($D194,Dim_Vendor[VendorName],0)),Dim_Category[CategoryID],0)),"")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E195">
        <f>IFERROR(INDEX(Dim_Category[CategoryName],MATCH(INDEX(Dim_Vendor[DefaultCategoryID],MATCH($D195,Dim_Vendor[VendorName],0)),Dim_Category[CategoryID],0)),"")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E196">
        <f>IFERROR(INDEX(Dim_Category[CategoryName],MATCH(INDEX(Dim_Vendor[DefaultCategoryID],MATCH($D196,Dim_Vendor[VendorName],0)),Dim_Category[CategoryID],0)),"")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E197">
        <f>IFERROR(INDEX(Dim_Category[CategoryName],MATCH(INDEX(Dim_Vendor[DefaultCategoryID],MATCH($D197,Dim_Vendor[VendorName],0)),Dim_Category[CategoryID],0)),"")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E198">
        <f>IFERROR(INDEX(Dim_Category[CategoryName],MATCH(INDEX(Dim_Vendor[DefaultCategoryID],MATCH($D198,Dim_Vendor[VendorName],0)),Dim_Category[CategoryID],0)),"")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E199">
        <f>IFERROR(INDEX(Dim_Category[CategoryName],MATCH(INDEX(Dim_Vendor[DefaultCategoryID],MATCH($D199,Dim_Vendor[VendorName],0)),Dim_Category[CategoryID],0)),"")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E200">
        <f>IFERROR(INDEX(Dim_Category[CategoryName],MATCH(INDEX(Dim_Vendor[DefaultCategoryID],MATCH($D200,Dim_Vendor[VendorName],0)),Dim_Category[CategoryID],0)),"")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E201">
        <f>IFERROR(INDEX(Dim_Category[CategoryName],MATCH(INDEX(Dim_Vendor[DefaultCategoryID],MATCH($D201,Dim_Vendor[VendorName],0)),Dim_Category[CategoryID],0)),"")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E202">
        <f>IFERROR(INDEX(Dim_Category[CategoryName],MATCH(INDEX(Dim_Vendor[DefaultCategoryID],MATCH($D202,Dim_Vendor[VendorName],0)),Dim_Category[CategoryID],0)),"")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E203">
        <f>IFERROR(INDEX(Dim_Category[CategoryName],MATCH(INDEX(Dim_Vendor[DefaultCategoryID],MATCH($D203,Dim_Vendor[VendorName],0)),Dim_Category[CategoryID],0)),"")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E204">
        <f>IFERROR(INDEX(Dim_Category[CategoryName],MATCH(INDEX(Dim_Vendor[DefaultCategoryID],MATCH($D204,Dim_Vendor[VendorName],0)),Dim_Category[CategoryID],0)),"")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E205">
        <f>IFERROR(INDEX(Dim_Category[CategoryName],MATCH(INDEX(Dim_Vendor[DefaultCategoryID],MATCH($D205,Dim_Vendor[VendorName],0)),Dim_Category[CategoryID],0)),"")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E206">
        <f>IFERROR(INDEX(Dim_Category[CategoryName],MATCH(INDEX(Dim_Vendor[DefaultCategoryID],MATCH($D206,Dim_Vendor[VendorName],0)),Dim_Category[CategoryID],0)),"")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E207">
        <f>IFERROR(INDEX(Dim_Category[CategoryName],MATCH(INDEX(Dim_Vendor[DefaultCategoryID],MATCH($D207,Dim_Vendor[VendorName],0)),Dim_Category[CategoryID],0)),"")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E208">
        <f>IFERROR(INDEX(Dim_Category[CategoryName],MATCH(INDEX(Dim_Vendor[DefaultCategoryID],MATCH($D208,Dim_Vendor[VendorName],0)),Dim_Category[CategoryID],0)),"")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E209">
        <f>IFERROR(INDEX(Dim_Category[CategoryName],MATCH(INDEX(Dim_Vendor[DefaultCategoryID],MATCH($D209,Dim_Vendor[VendorName],0)),Dim_Category[CategoryID],0)),"")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E210">
        <f>IFERROR(INDEX(Dim_Category[CategoryName],MATCH(INDEX(Dim_Vendor[DefaultCategoryID],MATCH($D210,Dim_Vendor[VendorName],0)),Dim_Category[CategoryID],0)),"")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E211">
        <f>IFERROR(INDEX(Dim_Category[CategoryName],MATCH(INDEX(Dim_Vendor[DefaultCategoryID],MATCH($D211,Dim_Vendor[VendorName],0)),Dim_Category[CategoryID],0)),"")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E212">
        <f>IFERROR(INDEX(Dim_Category[CategoryName],MATCH(INDEX(Dim_Vendor[DefaultCategoryID],MATCH($D212,Dim_Vendor[VendorName],0)),Dim_Category[CategoryID],0)),"")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E213">
        <f>IFERROR(INDEX(Dim_Category[CategoryName],MATCH(INDEX(Dim_Vendor[DefaultCategoryID],MATCH($D213,Dim_Vendor[VendorName],0)),Dim_Category[CategoryID],0)),"")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E214">
        <f>IFERROR(INDEX(Dim_Category[CategoryName],MATCH(INDEX(Dim_Vendor[DefaultCategoryID],MATCH($D214,Dim_Vendor[VendorName],0)),Dim_Category[CategoryID],0)),"")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E215">
        <f>IFERROR(INDEX(Dim_Category[CategoryName],MATCH(INDEX(Dim_Vendor[DefaultCategoryID],MATCH($D215,Dim_Vendor[VendorName],0)),Dim_Category[CategoryID],0)),"")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E216">
        <f>IFERROR(INDEX(Dim_Category[CategoryName],MATCH(INDEX(Dim_Vendor[DefaultCategoryID],MATCH($D216,Dim_Vendor[VendorName],0)),Dim_Category[CategoryID],0)),"")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E217">
        <f>IFERROR(INDEX(Dim_Category[CategoryName],MATCH(INDEX(Dim_Vendor[DefaultCategoryID],MATCH($D217,Dim_Vendor[VendorName],0)),Dim_Category[CategoryID],0)),"")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E218">
        <f>IFERROR(INDEX(Dim_Category[CategoryName],MATCH(INDEX(Dim_Vendor[DefaultCategoryID],MATCH($D218,Dim_Vendor[VendorName],0)),Dim_Category[CategoryID],0)),"")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E219">
        <f>IFERROR(INDEX(Dim_Category[CategoryName],MATCH(INDEX(Dim_Vendor[DefaultCategoryID],MATCH($D219,Dim_Vendor[VendorName],0)),Dim_Category[CategoryID],0)),"")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E220">
        <f>IFERROR(INDEX(Dim_Category[CategoryName],MATCH(INDEX(Dim_Vendor[DefaultCategoryID],MATCH($D220,Dim_Vendor[VendorName],0)),Dim_Category[CategoryID],0)),"")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E221">
        <f>IFERROR(INDEX(Dim_Category[CategoryName],MATCH(INDEX(Dim_Vendor[DefaultCategoryID],MATCH($D221,Dim_Vendor[VendorName],0)),Dim_Category[CategoryID],0)),"")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E222">
        <f>IFERROR(INDEX(Dim_Category[CategoryName],MATCH(INDEX(Dim_Vendor[DefaultCategoryID],MATCH($D222,Dim_Vendor[VendorName],0)),Dim_Category[CategoryID],0)),"")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E223">
        <f>IFERROR(INDEX(Dim_Category[CategoryName],MATCH(INDEX(Dim_Vendor[DefaultCategoryID],MATCH($D223,Dim_Vendor[VendorName],0)),Dim_Category[CategoryID],0)),"")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E224">
        <f>IFERROR(INDEX(Dim_Category[CategoryName],MATCH(INDEX(Dim_Vendor[DefaultCategoryID],MATCH($D224,Dim_Vendor[VendorName],0)),Dim_Category[CategoryID],0)),"")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E225">
        <f>IFERROR(INDEX(Dim_Category[CategoryName],MATCH(INDEX(Dim_Vendor[DefaultCategoryID],MATCH($D225,Dim_Vendor[VendorName],0)),Dim_Category[CategoryID],0)),"")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E226">
        <f>IFERROR(INDEX(Dim_Category[CategoryName],MATCH(INDEX(Dim_Vendor[DefaultCategoryID],MATCH($D226,Dim_Vendor[VendorName],0)),Dim_Category[CategoryID],0)),"")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E227">
        <f>IFERROR(INDEX(Dim_Category[CategoryName],MATCH(INDEX(Dim_Vendor[DefaultCategoryID],MATCH($D227,Dim_Vendor[VendorName],0)),Dim_Category[CategoryID],0)),"")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E228">
        <f>IFERROR(INDEX(Dim_Category[CategoryName],MATCH(INDEX(Dim_Vendor[DefaultCategoryID],MATCH($D228,Dim_Vendor[VendorName],0)),Dim_Category[CategoryID],0)),"")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E229">
        <f>IFERROR(INDEX(Dim_Category[CategoryName],MATCH(INDEX(Dim_Vendor[DefaultCategoryID],MATCH($D229,Dim_Vendor[VendorName],0)),Dim_Category[CategoryID],0)),"")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E230">
        <f>IFERROR(INDEX(Dim_Category[CategoryName],MATCH(INDEX(Dim_Vendor[DefaultCategoryID],MATCH($D230,Dim_Vendor[VendorName],0)),Dim_Category[CategoryID],0)),"")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E231">
        <f>IFERROR(INDEX(Dim_Category[CategoryName],MATCH(INDEX(Dim_Vendor[DefaultCategoryID],MATCH($D231,Dim_Vendor[VendorName],0)),Dim_Category[CategoryID],0)),"")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E232">
        <f>IFERROR(INDEX(Dim_Category[CategoryName],MATCH(INDEX(Dim_Vendor[DefaultCategoryID],MATCH($D232,Dim_Vendor[VendorName],0)),Dim_Category[CategoryID],0)),"")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E233">
        <f>IFERROR(INDEX(Dim_Category[CategoryName],MATCH(INDEX(Dim_Vendor[DefaultCategoryID],MATCH($D233,Dim_Vendor[VendorName],0)),Dim_Category[CategoryID],0)),"")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E234">
        <f>IFERROR(INDEX(Dim_Category[CategoryName],MATCH(INDEX(Dim_Vendor[DefaultCategoryID],MATCH($D234,Dim_Vendor[VendorName],0)),Dim_Category[CategoryID],0)),"")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E235">
        <f>IFERROR(INDEX(Dim_Category[CategoryName],MATCH(INDEX(Dim_Vendor[DefaultCategoryID],MATCH($D235,Dim_Vendor[VendorName],0)),Dim_Category[CategoryID],0)),"")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E236">
        <f>IFERROR(INDEX(Dim_Category[CategoryName],MATCH(INDEX(Dim_Vendor[DefaultCategoryID],MATCH($D236,Dim_Vendor[VendorName],0)),Dim_Category[CategoryID],0)),"")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E237">
        <f>IFERROR(INDEX(Dim_Category[CategoryName],MATCH(INDEX(Dim_Vendor[DefaultCategoryID],MATCH($D237,Dim_Vendor[VendorName],0)),Dim_Category[CategoryID],0)),"")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E238">
        <f>IFERROR(INDEX(Dim_Category[CategoryName],MATCH(INDEX(Dim_Vendor[DefaultCategoryID],MATCH($D238,Dim_Vendor[VendorName],0)),Dim_Category[CategoryID],0)),"")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E239">
        <f>IFERROR(INDEX(Dim_Category[CategoryName],MATCH(INDEX(Dim_Vendor[DefaultCategoryID],MATCH($D239,Dim_Vendor[VendorName],0)),Dim_Category[CategoryID],0)),"")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E240">
        <f>IFERROR(INDEX(Dim_Category[CategoryName],MATCH(INDEX(Dim_Vendor[DefaultCategoryID],MATCH($D240,Dim_Vendor[VendorName],0)),Dim_Category[CategoryID],0)),"")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E241">
        <f>IFERROR(INDEX(Dim_Category[CategoryName],MATCH(INDEX(Dim_Vendor[DefaultCategoryID],MATCH($D241,Dim_Vendor[VendorName],0)),Dim_Category[CategoryID],0)),"")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E242">
        <f>IFERROR(INDEX(Dim_Category[CategoryName],MATCH(INDEX(Dim_Vendor[DefaultCategoryID],MATCH($D242,Dim_Vendor[VendorName],0)),Dim_Category[CategoryID],0)),"")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E243">
        <f>IFERROR(INDEX(Dim_Category[CategoryName],MATCH(INDEX(Dim_Vendor[DefaultCategoryID],MATCH($D243,Dim_Vendor[VendorName],0)),Dim_Category[CategoryID],0)),"")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E244">
        <f>IFERROR(INDEX(Dim_Category[CategoryName],MATCH(INDEX(Dim_Vendor[DefaultCategoryID],MATCH($D244,Dim_Vendor[VendorName],0)),Dim_Category[CategoryID],0)),"")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E245">
        <f>IFERROR(INDEX(Dim_Category[CategoryName],MATCH(INDEX(Dim_Vendor[DefaultCategoryID],MATCH($D245,Dim_Vendor[VendorName],0)),Dim_Category[CategoryID],0)),"")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E246">
        <f>IFERROR(INDEX(Dim_Category[CategoryName],MATCH(INDEX(Dim_Vendor[DefaultCategoryID],MATCH($D246,Dim_Vendor[VendorName],0)),Dim_Category[CategoryID],0)),"")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E247">
        <f>IFERROR(INDEX(Dim_Category[CategoryName],MATCH(INDEX(Dim_Vendor[DefaultCategoryID],MATCH($D247,Dim_Vendor[VendorName],0)),Dim_Category[CategoryID],0)),"")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E248">
        <f>IFERROR(INDEX(Dim_Category[CategoryName],MATCH(INDEX(Dim_Vendor[DefaultCategoryID],MATCH($D248,Dim_Vendor[VendorName],0)),Dim_Category[CategoryID],0)),"")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E249">
        <f>IFERROR(INDEX(Dim_Category[CategoryName],MATCH(INDEX(Dim_Vendor[DefaultCategoryID],MATCH($D249,Dim_Vendor[VendorName],0)),Dim_Category[CategoryID],0)),"")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E250">
        <f>IFERROR(INDEX(Dim_Category[CategoryName],MATCH(INDEX(Dim_Vendor[DefaultCategoryID],MATCH($D250,Dim_Vendor[VendorName],0)),Dim_Category[CategoryID],0)),"")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E251">
        <f>IFERROR(INDEX(Dim_Category[CategoryName],MATCH(INDEX(Dim_Vendor[DefaultCategoryID],MATCH($D251,Dim_Vendor[VendorName],0)),Dim_Category[CategoryID],0)),"")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E252">
        <f>IFERROR(INDEX(Dim_Category[CategoryName],MATCH(INDEX(Dim_Vendor[DefaultCategoryID],MATCH($D252,Dim_Vendor[VendorName],0)),Dim_Category[CategoryID],0)),"")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E253">
        <f>IFERROR(INDEX(Dim_Category[CategoryName],MATCH(INDEX(Dim_Vendor[DefaultCategoryID],MATCH($D253,Dim_Vendor[VendorName],0)),Dim_Category[CategoryID],0)),"")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E254">
        <f>IFERROR(INDEX(Dim_Category[CategoryName],MATCH(INDEX(Dim_Vendor[DefaultCategoryID],MATCH($D254,Dim_Vendor[VendorName],0)),Dim_Category[CategoryID],0)),"")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E255">
        <f>IFERROR(INDEX(Dim_Category[CategoryName],MATCH(INDEX(Dim_Vendor[DefaultCategoryID],MATCH($D255,Dim_Vendor[VendorName],0)),Dim_Category[CategoryID],0)),"")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E256">
        <f>IFERROR(INDEX(Dim_Category[CategoryName],MATCH(INDEX(Dim_Vendor[DefaultCategoryID],MATCH($D256,Dim_Vendor[VendorName],0)),Dim_Category[CategoryID],0)),"")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E257">
        <f>IFERROR(INDEX(Dim_Category[CategoryName],MATCH(INDEX(Dim_Vendor[DefaultCategoryID],MATCH($D257,Dim_Vendor[VendorName],0)),Dim_Category[CategoryID],0)),"")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E258">
        <f>IFERROR(INDEX(Dim_Category[CategoryName],MATCH(INDEX(Dim_Vendor[DefaultCategoryID],MATCH($D258,Dim_Vendor[VendorName],0)),Dim_Category[CategoryID],0)),"")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E259">
        <f>IFERROR(INDEX(Dim_Category[CategoryName],MATCH(INDEX(Dim_Vendor[DefaultCategoryID],MATCH($D259,Dim_Vendor[VendorName],0)),Dim_Category[CategoryID],0)),"")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E260">
        <f>IFERROR(INDEX(Dim_Category[CategoryName],MATCH(INDEX(Dim_Vendor[DefaultCategoryID],MATCH($D260,Dim_Vendor[VendorName],0)),Dim_Category[CategoryID],0)),"")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E261">
        <f>IFERROR(INDEX(Dim_Category[CategoryName],MATCH(INDEX(Dim_Vendor[DefaultCategoryID],MATCH($D261,Dim_Vendor[VendorName],0)),Dim_Category[CategoryID],0)),"")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E262">
        <f>IFERROR(INDEX(Dim_Category[CategoryName],MATCH(INDEX(Dim_Vendor[DefaultCategoryID],MATCH($D262,Dim_Vendor[VendorName],0)),Dim_Category[CategoryID],0)),"")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E263">
        <f>IFERROR(INDEX(Dim_Category[CategoryName],MATCH(INDEX(Dim_Vendor[DefaultCategoryID],MATCH($D263,Dim_Vendor[VendorName],0)),Dim_Category[CategoryID],0)),"")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E264">
        <f>IFERROR(INDEX(Dim_Category[CategoryName],MATCH(INDEX(Dim_Vendor[DefaultCategoryID],MATCH($D264,Dim_Vendor[VendorName],0)),Dim_Category[CategoryID],0)),"")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E265">
        <f>IFERROR(INDEX(Dim_Category[CategoryName],MATCH(INDEX(Dim_Vendor[DefaultCategoryID],MATCH($D265,Dim_Vendor[VendorName],0)),Dim_Category[CategoryID],0)),"")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E266">
        <f>IFERROR(INDEX(Dim_Category[CategoryName],MATCH(INDEX(Dim_Vendor[DefaultCategoryID],MATCH($D266,Dim_Vendor[VendorName],0)),Dim_Category[CategoryID],0)),"")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E267">
        <f>IFERROR(INDEX(Dim_Category[CategoryName],MATCH(INDEX(Dim_Vendor[DefaultCategoryID],MATCH($D267,Dim_Vendor[VendorName],0)),Dim_Category[CategoryID],0)),"")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E268">
        <f>IFERROR(INDEX(Dim_Category[CategoryName],MATCH(INDEX(Dim_Vendor[DefaultCategoryID],MATCH($D268,Dim_Vendor[VendorName],0)),Dim_Category[CategoryID],0)),"")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E269">
        <f>IFERROR(INDEX(Dim_Category[CategoryName],MATCH(INDEX(Dim_Vendor[DefaultCategoryID],MATCH($D269,Dim_Vendor[VendorName],0)),Dim_Category[CategoryID],0)),"")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E270">
        <f>IFERROR(INDEX(Dim_Category[CategoryName],MATCH(INDEX(Dim_Vendor[DefaultCategoryID],MATCH($D270,Dim_Vendor[VendorName],0)),Dim_Category[CategoryID],0)),"")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E271">
        <f>IFERROR(INDEX(Dim_Category[CategoryName],MATCH(INDEX(Dim_Vendor[DefaultCategoryID],MATCH($D271,Dim_Vendor[VendorName],0)),Dim_Category[CategoryID],0)),"")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E272">
        <f>IFERROR(INDEX(Dim_Category[CategoryName],MATCH(INDEX(Dim_Vendor[DefaultCategoryID],MATCH($D272,Dim_Vendor[VendorName],0)),Dim_Category[CategoryID],0)),"")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E273">
        <f>IFERROR(INDEX(Dim_Category[CategoryName],MATCH(INDEX(Dim_Vendor[DefaultCategoryID],MATCH($D273,Dim_Vendor[VendorName],0)),Dim_Category[CategoryID],0)),"")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E274">
        <f>IFERROR(INDEX(Dim_Category[CategoryName],MATCH(INDEX(Dim_Vendor[DefaultCategoryID],MATCH($D274,Dim_Vendor[VendorName],0)),Dim_Category[CategoryID],0)),"")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E275">
        <f>IFERROR(INDEX(Dim_Category[CategoryName],MATCH(INDEX(Dim_Vendor[DefaultCategoryID],MATCH($D275,Dim_Vendor[VendorName],0)),Dim_Category[CategoryID],0)),"")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E276">
        <f>IFERROR(INDEX(Dim_Category[CategoryName],MATCH(INDEX(Dim_Vendor[DefaultCategoryID],MATCH($D276,Dim_Vendor[VendorName],0)),Dim_Category[CategoryID],0)),"")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E277">
        <f>IFERROR(INDEX(Dim_Category[CategoryName],MATCH(INDEX(Dim_Vendor[DefaultCategoryID],MATCH($D277,Dim_Vendor[VendorName],0)),Dim_Category[CategoryID],0)),"")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E278">
        <f>IFERROR(INDEX(Dim_Category[CategoryName],MATCH(INDEX(Dim_Vendor[DefaultCategoryID],MATCH($D278,Dim_Vendor[VendorName],0)),Dim_Category[CategoryID],0)),"")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E279">
        <f>IFERROR(INDEX(Dim_Category[CategoryName],MATCH(INDEX(Dim_Vendor[DefaultCategoryID],MATCH($D279,Dim_Vendor[VendorName],0)),Dim_Category[CategoryID],0)),"")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E280">
        <f>IFERROR(INDEX(Dim_Category[CategoryName],MATCH(INDEX(Dim_Vendor[DefaultCategoryID],MATCH($D280,Dim_Vendor[VendorName],0)),Dim_Category[CategoryID],0)),"")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E281">
        <f>IFERROR(INDEX(Dim_Category[CategoryName],MATCH(INDEX(Dim_Vendor[DefaultCategoryID],MATCH($D281,Dim_Vendor[VendorName],0)),Dim_Category[CategoryID],0)),"")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E282">
        <f>IFERROR(INDEX(Dim_Category[CategoryName],MATCH(INDEX(Dim_Vendor[DefaultCategoryID],MATCH($D282,Dim_Vendor[VendorName],0)),Dim_Category[CategoryID],0)),"")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E283">
        <f>IFERROR(INDEX(Dim_Category[CategoryName],MATCH(INDEX(Dim_Vendor[DefaultCategoryID],MATCH($D283,Dim_Vendor[VendorName],0)),Dim_Category[CategoryID],0)),"")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E284">
        <f>IFERROR(INDEX(Dim_Category[CategoryName],MATCH(INDEX(Dim_Vendor[DefaultCategoryID],MATCH($D284,Dim_Vendor[VendorName],0)),Dim_Category[CategoryID],0)),"")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E285">
        <f>IFERROR(INDEX(Dim_Category[CategoryName],MATCH(INDEX(Dim_Vendor[DefaultCategoryID],MATCH($D285,Dim_Vendor[VendorName],0)),Dim_Category[CategoryID],0)),"")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E286">
        <f>IFERROR(INDEX(Dim_Category[CategoryName],MATCH(INDEX(Dim_Vendor[DefaultCategoryID],MATCH($D286,Dim_Vendor[VendorName],0)),Dim_Category[CategoryID],0)),"")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E287">
        <f>IFERROR(INDEX(Dim_Category[CategoryName],MATCH(INDEX(Dim_Vendor[DefaultCategoryID],MATCH($D287,Dim_Vendor[VendorName],0)),Dim_Category[CategoryID],0)),"")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E288">
        <f>IFERROR(INDEX(Dim_Category[CategoryName],MATCH(INDEX(Dim_Vendor[DefaultCategoryID],MATCH($D288,Dim_Vendor[VendorName],0)),Dim_Category[CategoryID],0)),"")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E289">
        <f>IFERROR(INDEX(Dim_Category[CategoryName],MATCH(INDEX(Dim_Vendor[DefaultCategoryID],MATCH($D289,Dim_Vendor[VendorName],0)),Dim_Category[CategoryID],0)),"")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E290">
        <f>IFERROR(INDEX(Dim_Category[CategoryName],MATCH(INDEX(Dim_Vendor[DefaultCategoryID],MATCH($D290,Dim_Vendor[VendorName],0)),Dim_Category[CategoryID],0)),"")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E291">
        <f>IFERROR(INDEX(Dim_Category[CategoryName],MATCH(INDEX(Dim_Vendor[DefaultCategoryID],MATCH($D291,Dim_Vendor[VendorName],0)),Dim_Category[CategoryID],0)),"")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E292">
        <f>IFERROR(INDEX(Dim_Category[CategoryName],MATCH(INDEX(Dim_Vendor[DefaultCategoryID],MATCH($D292,Dim_Vendor[VendorName],0)),Dim_Category[CategoryID],0)),"")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E293">
        <f>IFERROR(INDEX(Dim_Category[CategoryName],MATCH(INDEX(Dim_Vendor[DefaultCategoryID],MATCH($D293,Dim_Vendor[VendorName],0)),Dim_Category[CategoryID],0)),"")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E294">
        <f>IFERROR(INDEX(Dim_Category[CategoryName],MATCH(INDEX(Dim_Vendor[DefaultCategoryID],MATCH($D294,Dim_Vendor[VendorName],0)),Dim_Category[CategoryID],0)),"")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E295">
        <f>IFERROR(INDEX(Dim_Category[CategoryName],MATCH(INDEX(Dim_Vendor[DefaultCategoryID],MATCH($D295,Dim_Vendor[VendorName],0)),Dim_Category[CategoryID],0)),"")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E296">
        <f>IFERROR(INDEX(Dim_Category[CategoryName],MATCH(INDEX(Dim_Vendor[DefaultCategoryID],MATCH($D296,Dim_Vendor[VendorName],0)),Dim_Category[CategoryID],0)),"")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E297">
        <f>IFERROR(INDEX(Dim_Category[CategoryName],MATCH(INDEX(Dim_Vendor[DefaultCategoryID],MATCH($D297,Dim_Vendor[VendorName],0)),Dim_Category[CategoryID],0)),"")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E298">
        <f>IFERROR(INDEX(Dim_Category[CategoryName],MATCH(INDEX(Dim_Vendor[DefaultCategoryID],MATCH($D298,Dim_Vendor[VendorName],0)),Dim_Category[CategoryID],0)),"")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E299">
        <f>IFERROR(INDEX(Dim_Category[CategoryName],MATCH(INDEX(Dim_Vendor[DefaultCategoryID],MATCH($D299,Dim_Vendor[VendorName],0)),Dim_Category[CategoryID],0)),"")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E300">
        <f>IFERROR(INDEX(Dim_Category[CategoryName],MATCH(INDEX(Dim_Vendor[DefaultCategoryID],MATCH($D300,Dim_Vendor[VendorName],0)),Dim_Category[CategoryID],0)),"")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E301">
        <f>IFERROR(INDEX(Dim_Category[CategoryName],MATCH(INDEX(Dim_Vendor[DefaultCategoryID],MATCH($D301,Dim_Vendor[VendorName],0)),Dim_Category[CategoryID],0)),"")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E302">
        <f>IFERROR(INDEX(Dim_Category[CategoryName],MATCH(INDEX(Dim_Vendor[DefaultCategoryID],MATCH($D302,Dim_Vendor[VendorName],0)),Dim_Category[CategoryID],0)),"")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E303">
        <f>IFERROR(INDEX(Dim_Category[CategoryName],MATCH(INDEX(Dim_Vendor[DefaultCategoryID],MATCH($D303,Dim_Vendor[VendorName],0)),Dim_Category[CategoryID],0)),"")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E304">
        <f>IFERROR(INDEX(Dim_Category[CategoryName],MATCH(INDEX(Dim_Vendor[DefaultCategoryID],MATCH($D304,Dim_Vendor[VendorName],0)),Dim_Category[CategoryID],0)),"")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E305">
        <f>IFERROR(INDEX(Dim_Category[CategoryName],MATCH(INDEX(Dim_Vendor[DefaultCategoryID],MATCH($D305,Dim_Vendor[VendorName],0)),Dim_Category[CategoryID],0)),"")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E306">
        <f>IFERROR(INDEX(Dim_Category[CategoryName],MATCH(INDEX(Dim_Vendor[DefaultCategoryID],MATCH($D306,Dim_Vendor[VendorName],0)),Dim_Category[CategoryID],0)),"")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E307">
        <f>IFERROR(INDEX(Dim_Category[CategoryName],MATCH(INDEX(Dim_Vendor[DefaultCategoryID],MATCH($D307,Dim_Vendor[VendorName],0)),Dim_Category[CategoryID],0)),"")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E308">
        <f>IFERROR(INDEX(Dim_Category[CategoryName],MATCH(INDEX(Dim_Vendor[DefaultCategoryID],MATCH($D308,Dim_Vendor[VendorName],0)),Dim_Category[CategoryID],0)),"")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E309">
        <f>IFERROR(INDEX(Dim_Category[CategoryName],MATCH(INDEX(Dim_Vendor[DefaultCategoryID],MATCH($D309,Dim_Vendor[VendorName],0)),Dim_Category[CategoryID],0)),"")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E310">
        <f>IFERROR(INDEX(Dim_Category[CategoryName],MATCH(INDEX(Dim_Vendor[DefaultCategoryID],MATCH($D310,Dim_Vendor[VendorName],0)),Dim_Category[CategoryID],0)),"")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E311">
        <f>IFERROR(INDEX(Dim_Category[CategoryName],MATCH(INDEX(Dim_Vendor[DefaultCategoryID],MATCH($D311,Dim_Vendor[VendorName],0)),Dim_Category[CategoryID],0)),"")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E312">
        <f>IFERROR(INDEX(Dim_Category[CategoryName],MATCH(INDEX(Dim_Vendor[DefaultCategoryID],MATCH($D312,Dim_Vendor[VendorName],0)),Dim_Category[CategoryID],0)),"")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E313">
        <f>IFERROR(INDEX(Dim_Category[CategoryName],MATCH(INDEX(Dim_Vendor[DefaultCategoryID],MATCH($D313,Dim_Vendor[VendorName],0)),Dim_Category[CategoryID],0)),"")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E314">
        <f>IFERROR(INDEX(Dim_Category[CategoryName],MATCH(INDEX(Dim_Vendor[DefaultCategoryID],MATCH($D314,Dim_Vendor[VendorName],0)),Dim_Category[CategoryID],0)),"")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E315">
        <f>IFERROR(INDEX(Dim_Category[CategoryName],MATCH(INDEX(Dim_Vendor[DefaultCategoryID],MATCH($D315,Dim_Vendor[VendorName],0)),Dim_Category[CategoryID],0)),"")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E316">
        <f>IFERROR(INDEX(Dim_Category[CategoryName],MATCH(INDEX(Dim_Vendor[DefaultCategoryID],MATCH($D316,Dim_Vendor[VendorName],0)),Dim_Category[CategoryID],0)),"")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E317">
        <f>IFERROR(INDEX(Dim_Category[CategoryName],MATCH(INDEX(Dim_Vendor[DefaultCategoryID],MATCH($D317,Dim_Vendor[VendorName],0)),Dim_Category[CategoryID],0)),"")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E318">
        <f>IFERROR(INDEX(Dim_Category[CategoryName],MATCH(INDEX(Dim_Vendor[DefaultCategoryID],MATCH($D318,Dim_Vendor[VendorName],0)),Dim_Category[CategoryID],0)),"")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E319">
        <f>IFERROR(INDEX(Dim_Category[CategoryName],MATCH(INDEX(Dim_Vendor[DefaultCategoryID],MATCH($D319,Dim_Vendor[VendorName],0)),Dim_Category[CategoryID],0)),"")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E320">
        <f>IFERROR(INDEX(Dim_Category[CategoryName],MATCH(INDEX(Dim_Vendor[DefaultCategoryID],MATCH($D320,Dim_Vendor[VendorName],0)),Dim_Category[CategoryID],0)),"")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E321">
        <f>IFERROR(INDEX(Dim_Category[CategoryName],MATCH(INDEX(Dim_Vendor[DefaultCategoryID],MATCH($D321,Dim_Vendor[VendorName],0)),Dim_Category[CategoryID],0)),"")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E322">
        <f>IFERROR(INDEX(Dim_Category[CategoryName],MATCH(INDEX(Dim_Vendor[DefaultCategoryID],MATCH($D322,Dim_Vendor[VendorName],0)),Dim_Category[CategoryID],0)),"")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E323">
        <f>IFERROR(INDEX(Dim_Category[CategoryName],MATCH(INDEX(Dim_Vendor[DefaultCategoryID],MATCH($D323,Dim_Vendor[VendorName],0)),Dim_Category[CategoryID],0)),"")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E324">
        <f>IFERROR(INDEX(Dim_Category[CategoryName],MATCH(INDEX(Dim_Vendor[DefaultCategoryID],MATCH($D324,Dim_Vendor[VendorName],0)),Dim_Category[CategoryID],0)),"")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E325">
        <f>IFERROR(INDEX(Dim_Category[CategoryName],MATCH(INDEX(Dim_Vendor[DefaultCategoryID],MATCH($D325,Dim_Vendor[VendorName],0)),Dim_Category[CategoryID],0)),"")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E326">
        <f>IFERROR(INDEX(Dim_Category[CategoryName],MATCH(INDEX(Dim_Vendor[DefaultCategoryID],MATCH($D326,Dim_Vendor[VendorName],0)),Dim_Category[CategoryID],0)),"")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E327">
        <f>IFERROR(INDEX(Dim_Category[CategoryName],MATCH(INDEX(Dim_Vendor[DefaultCategoryID],MATCH($D327,Dim_Vendor[VendorName],0)),Dim_Category[CategoryID],0)),"")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E328">
        <f>IFERROR(INDEX(Dim_Category[CategoryName],MATCH(INDEX(Dim_Vendor[DefaultCategoryID],MATCH($D328,Dim_Vendor[VendorName],0)),Dim_Category[CategoryID],0)),"")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E329">
        <f>IFERROR(INDEX(Dim_Category[CategoryName],MATCH(INDEX(Dim_Vendor[DefaultCategoryID],MATCH($D329,Dim_Vendor[VendorName],0)),Dim_Category[CategoryID],0)),"")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E330">
        <f>IFERROR(INDEX(Dim_Category[CategoryName],MATCH(INDEX(Dim_Vendor[DefaultCategoryID],MATCH($D330,Dim_Vendor[VendorName],0)),Dim_Category[CategoryID],0)),"")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E331">
        <f>IFERROR(INDEX(Dim_Category[CategoryName],MATCH(INDEX(Dim_Vendor[DefaultCategoryID],MATCH($D331,Dim_Vendor[VendorName],0)),Dim_Category[CategoryID],0)),"")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E332">
        <f>IFERROR(INDEX(Dim_Category[CategoryName],MATCH(INDEX(Dim_Vendor[DefaultCategoryID],MATCH($D332,Dim_Vendor[VendorName],0)),Dim_Category[CategoryID],0)),"")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E333">
        <f>IFERROR(INDEX(Dim_Category[CategoryName],MATCH(INDEX(Dim_Vendor[DefaultCategoryID],MATCH($D333,Dim_Vendor[VendorName],0)),Dim_Category[CategoryID],0)),"")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E334">
        <f>IFERROR(INDEX(Dim_Category[CategoryName],MATCH(INDEX(Dim_Vendor[DefaultCategoryID],MATCH($D334,Dim_Vendor[VendorName],0)),Dim_Category[CategoryID],0)),"")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E335">
        <f>IFERROR(INDEX(Dim_Category[CategoryName],MATCH(INDEX(Dim_Vendor[DefaultCategoryID],MATCH($D335,Dim_Vendor[VendorName],0)),Dim_Category[CategoryID],0)),"")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E336">
        <f>IFERROR(INDEX(Dim_Category[CategoryName],MATCH(INDEX(Dim_Vendor[DefaultCategoryID],MATCH($D336,Dim_Vendor[VendorName],0)),Dim_Category[CategoryID],0)),"")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E337">
        <f>IFERROR(INDEX(Dim_Category[CategoryName],MATCH(INDEX(Dim_Vendor[DefaultCategoryID],MATCH($D337,Dim_Vendor[VendorName],0)),Dim_Category[CategoryID],0)),"")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E338">
        <f>IFERROR(INDEX(Dim_Category[CategoryName],MATCH(INDEX(Dim_Vendor[DefaultCategoryID],MATCH($D338,Dim_Vendor[VendorName],0)),Dim_Category[CategoryID],0)),"")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E339">
        <f>IFERROR(INDEX(Dim_Category[CategoryName],MATCH(INDEX(Dim_Vendor[DefaultCategoryID],MATCH($D339,Dim_Vendor[VendorName],0)),Dim_Category[CategoryID],0)),"")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E340">
        <f>IFERROR(INDEX(Dim_Category[CategoryName],MATCH(INDEX(Dim_Vendor[DefaultCategoryID],MATCH($D340,Dim_Vendor[VendorName],0)),Dim_Category[CategoryID],0)),"")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E341">
        <f>IFERROR(INDEX(Dim_Category[CategoryName],MATCH(INDEX(Dim_Vendor[DefaultCategoryID],MATCH($D341,Dim_Vendor[VendorName],0)),Dim_Category[CategoryID],0)),"")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E342">
        <f>IFERROR(INDEX(Dim_Category[CategoryName],MATCH(INDEX(Dim_Vendor[DefaultCategoryID],MATCH($D342,Dim_Vendor[VendorName],0)),Dim_Category[CategoryID],0)),"")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E343">
        <f>IFERROR(INDEX(Dim_Category[CategoryName],MATCH(INDEX(Dim_Vendor[DefaultCategoryID],MATCH($D343,Dim_Vendor[VendorName],0)),Dim_Category[CategoryID],0)),"")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E344">
        <f>IFERROR(INDEX(Dim_Category[CategoryName],MATCH(INDEX(Dim_Vendor[DefaultCategoryID],MATCH($D344,Dim_Vendor[VendorName],0)),Dim_Category[CategoryID],0)),"")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E345">
        <f>IFERROR(INDEX(Dim_Category[CategoryName],MATCH(INDEX(Dim_Vendor[DefaultCategoryID],MATCH($D345,Dim_Vendor[VendorName],0)),Dim_Category[CategoryID],0)),"")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E346">
        <f>IFERROR(INDEX(Dim_Category[CategoryName],MATCH(INDEX(Dim_Vendor[DefaultCategoryID],MATCH($D346,Dim_Vendor[VendorName],0)),Dim_Category[CategoryID],0)),"")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E347">
        <f>IFERROR(INDEX(Dim_Category[CategoryName],MATCH(INDEX(Dim_Vendor[DefaultCategoryID],MATCH($D347,Dim_Vendor[VendorName],0)),Dim_Category[CategoryID],0)),"")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E348">
        <f>IFERROR(INDEX(Dim_Category[CategoryName],MATCH(INDEX(Dim_Vendor[DefaultCategoryID],MATCH($D348,Dim_Vendor[VendorName],0)),Dim_Category[CategoryID],0)),"")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E349">
        <f>IFERROR(INDEX(Dim_Category[CategoryName],MATCH(INDEX(Dim_Vendor[DefaultCategoryID],MATCH($D349,Dim_Vendor[VendorName],0)),Dim_Category[CategoryID],0)),"")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E350">
        <f>IFERROR(INDEX(Dim_Category[CategoryName],MATCH(INDEX(Dim_Vendor[DefaultCategoryID],MATCH($D350,Dim_Vendor[VendorName],0)),Dim_Category[CategoryID],0)),"")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E351">
        <f>IFERROR(INDEX(Dim_Category[CategoryName],MATCH(INDEX(Dim_Vendor[DefaultCategoryID],MATCH($D351,Dim_Vendor[VendorName],0)),Dim_Category[CategoryID],0)),"")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E352">
        <f>IFERROR(INDEX(Dim_Category[CategoryName],MATCH(INDEX(Dim_Vendor[DefaultCategoryID],MATCH($D352,Dim_Vendor[VendorName],0)),Dim_Category[CategoryID],0)),"")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E353">
        <f>IFERROR(INDEX(Dim_Category[CategoryName],MATCH(INDEX(Dim_Vendor[DefaultCategoryID],MATCH($D353,Dim_Vendor[VendorName],0)),Dim_Category[CategoryID],0)),"")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E354">
        <f>IFERROR(INDEX(Dim_Category[CategoryName],MATCH(INDEX(Dim_Vendor[DefaultCategoryID],MATCH($D354,Dim_Vendor[VendorName],0)),Dim_Category[CategoryID],0)),"")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E355">
        <f>IFERROR(INDEX(Dim_Category[CategoryName],MATCH(INDEX(Dim_Vendor[DefaultCategoryID],MATCH($D355,Dim_Vendor[VendorName],0)),Dim_Category[CategoryID],0)),"")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E356">
        <f>IFERROR(INDEX(Dim_Category[CategoryName],MATCH(INDEX(Dim_Vendor[DefaultCategoryID],MATCH($D356,Dim_Vendor[VendorName],0)),Dim_Category[CategoryID],0)),"")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E357">
        <f>IFERROR(INDEX(Dim_Category[CategoryName],MATCH(INDEX(Dim_Vendor[DefaultCategoryID],MATCH($D357,Dim_Vendor[VendorName],0)),Dim_Category[CategoryID],0)),"")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E358">
        <f>IFERROR(INDEX(Dim_Category[CategoryName],MATCH(INDEX(Dim_Vendor[DefaultCategoryID],MATCH($D358,Dim_Vendor[VendorName],0)),Dim_Category[CategoryID],0)),"")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E359">
        <f>IFERROR(INDEX(Dim_Category[CategoryName],MATCH(INDEX(Dim_Vendor[DefaultCategoryID],MATCH($D359,Dim_Vendor[VendorName],0)),Dim_Category[CategoryID],0)),"")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E360">
        <f>IFERROR(INDEX(Dim_Category[CategoryName],MATCH(INDEX(Dim_Vendor[DefaultCategoryID],MATCH($D360,Dim_Vendor[VendorName],0)),Dim_Category[CategoryID],0)),"")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E361">
        <f>IFERROR(INDEX(Dim_Category[CategoryName],MATCH(INDEX(Dim_Vendor[DefaultCategoryID],MATCH($D361,Dim_Vendor[VendorName],0)),Dim_Category[CategoryID],0)),"")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E362">
        <f>IFERROR(INDEX(Dim_Category[CategoryName],MATCH(INDEX(Dim_Vendor[DefaultCategoryID],MATCH($D362,Dim_Vendor[VendorName],0)),Dim_Category[CategoryID],0)),"")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E363">
        <f>IFERROR(INDEX(Dim_Category[CategoryName],MATCH(INDEX(Dim_Vendor[DefaultCategoryID],MATCH($D363,Dim_Vendor[VendorName],0)),Dim_Category[CategoryID],0)),"")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E364">
        <f>IFERROR(INDEX(Dim_Category[CategoryName],MATCH(INDEX(Dim_Vendor[DefaultCategoryID],MATCH($D364,Dim_Vendor[VendorName],0)),Dim_Category[CategoryID],0)),"")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E365">
        <f>IFERROR(INDEX(Dim_Category[CategoryName],MATCH(INDEX(Dim_Vendor[DefaultCategoryID],MATCH($D365,Dim_Vendor[VendorName],0)),Dim_Category[CategoryID],0)),"")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E366">
        <f>IFERROR(INDEX(Dim_Category[CategoryName],MATCH(INDEX(Dim_Vendor[DefaultCategoryID],MATCH($D366,Dim_Vendor[VendorName],0)),Dim_Category[CategoryID],0)),"")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E367">
        <f>IFERROR(INDEX(Dim_Category[CategoryName],MATCH(INDEX(Dim_Vendor[DefaultCategoryID],MATCH($D367,Dim_Vendor[VendorName],0)),Dim_Category[CategoryID],0)),"")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E368">
        <f>IFERROR(INDEX(Dim_Category[CategoryName],MATCH(INDEX(Dim_Vendor[DefaultCategoryID],MATCH($D368,Dim_Vendor[VendorName],0)),Dim_Category[CategoryID],0)),"")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E369">
        <f>IFERROR(INDEX(Dim_Category[CategoryName],MATCH(INDEX(Dim_Vendor[DefaultCategoryID],MATCH($D369,Dim_Vendor[VendorName],0)),Dim_Category[CategoryID],0)),"")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E370">
        <f>IFERROR(INDEX(Dim_Category[CategoryName],MATCH(INDEX(Dim_Vendor[DefaultCategoryID],MATCH($D370,Dim_Vendor[VendorName],0)),Dim_Category[CategoryID],0)),"")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E371">
        <f>IFERROR(INDEX(Dim_Category[CategoryName],MATCH(INDEX(Dim_Vendor[DefaultCategoryID],MATCH($D371,Dim_Vendor[VendorName],0)),Dim_Category[CategoryID],0)),"")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E372">
        <f>IFERROR(INDEX(Dim_Category[CategoryName],MATCH(INDEX(Dim_Vendor[DefaultCategoryID],MATCH($D372,Dim_Vendor[VendorName],0)),Dim_Category[CategoryID],0)),"")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E373">
        <f>IFERROR(INDEX(Dim_Category[CategoryName],MATCH(INDEX(Dim_Vendor[DefaultCategoryID],MATCH($D373,Dim_Vendor[VendorName],0)),Dim_Category[CategoryID],0)),"")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E374">
        <f>IFERROR(INDEX(Dim_Category[CategoryName],MATCH(INDEX(Dim_Vendor[DefaultCategoryID],MATCH($D374,Dim_Vendor[VendorName],0)),Dim_Category[CategoryID],0)),"")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E375">
        <f>IFERROR(INDEX(Dim_Category[CategoryName],MATCH(INDEX(Dim_Vendor[DefaultCategoryID],MATCH($D375,Dim_Vendor[VendorName],0)),Dim_Category[CategoryID],0)),"")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E376">
        <f>IFERROR(INDEX(Dim_Category[CategoryName],MATCH(INDEX(Dim_Vendor[DefaultCategoryID],MATCH($D376,Dim_Vendor[VendorName],0)),Dim_Category[CategoryID],0)),"")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E377">
        <f>IFERROR(INDEX(Dim_Category[CategoryName],MATCH(INDEX(Dim_Vendor[DefaultCategoryID],MATCH($D377,Dim_Vendor[VendorName],0)),Dim_Category[CategoryID],0)),"")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E378">
        <f>IFERROR(INDEX(Dim_Category[CategoryName],MATCH(INDEX(Dim_Vendor[DefaultCategoryID],MATCH($D378,Dim_Vendor[VendorName],0)),Dim_Category[CategoryID],0)),"")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E379">
        <f>IFERROR(INDEX(Dim_Category[CategoryName],MATCH(INDEX(Dim_Vendor[DefaultCategoryID],MATCH($D379,Dim_Vendor[VendorName],0)),Dim_Category[CategoryID],0)),"")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E380">
        <f>IFERROR(INDEX(Dim_Category[CategoryName],MATCH(INDEX(Dim_Vendor[DefaultCategoryID],MATCH($D380,Dim_Vendor[VendorName],0)),Dim_Category[CategoryID],0)),"")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E381">
        <f>IFERROR(INDEX(Dim_Category[CategoryName],MATCH(INDEX(Dim_Vendor[DefaultCategoryID],MATCH($D381,Dim_Vendor[VendorName],0)),Dim_Category[CategoryID],0)),"")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E382">
        <f>IFERROR(INDEX(Dim_Category[CategoryName],MATCH(INDEX(Dim_Vendor[DefaultCategoryID],MATCH($D382,Dim_Vendor[VendorName],0)),Dim_Category[CategoryID],0)),"")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E383">
        <f>IFERROR(INDEX(Dim_Category[CategoryName],MATCH(INDEX(Dim_Vendor[DefaultCategoryID],MATCH($D383,Dim_Vendor[VendorName],0)),Dim_Category[CategoryID],0)),"")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E384">
        <f>IFERROR(INDEX(Dim_Category[CategoryName],MATCH(INDEX(Dim_Vendor[DefaultCategoryID],MATCH($D384,Dim_Vendor[VendorName],0)),Dim_Category[CategoryID],0)),"")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E385">
        <f>IFERROR(INDEX(Dim_Category[CategoryName],MATCH(INDEX(Dim_Vendor[DefaultCategoryID],MATCH($D385,Dim_Vendor[VendorName],0)),Dim_Category[CategoryID],0)),"")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E386">
        <f>IFERROR(INDEX(Dim_Category[CategoryName],MATCH(INDEX(Dim_Vendor[DefaultCategoryID],MATCH($D386,Dim_Vendor[VendorName],0)),Dim_Category[CategoryID],0)),"")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E387">
        <f>IFERROR(INDEX(Dim_Category[CategoryName],MATCH(INDEX(Dim_Vendor[DefaultCategoryID],MATCH($D387,Dim_Vendor[VendorName],0)),Dim_Category[CategoryID],0)),"")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E388">
        <f>IFERROR(INDEX(Dim_Category[CategoryName],MATCH(INDEX(Dim_Vendor[DefaultCategoryID],MATCH($D388,Dim_Vendor[VendorName],0)),Dim_Category[CategoryID],0)),"")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E389">
        <f>IFERROR(INDEX(Dim_Category[CategoryName],MATCH(INDEX(Dim_Vendor[DefaultCategoryID],MATCH($D389,Dim_Vendor[VendorName],0)),Dim_Category[CategoryID],0)),"")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E390">
        <f>IFERROR(INDEX(Dim_Category[CategoryName],MATCH(INDEX(Dim_Vendor[DefaultCategoryID],MATCH($D390,Dim_Vendor[VendorName],0)),Dim_Category[CategoryID],0)),"")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E391">
        <f>IFERROR(INDEX(Dim_Category[CategoryName],MATCH(INDEX(Dim_Vendor[DefaultCategoryID],MATCH($D391,Dim_Vendor[VendorName],0)),Dim_Category[CategoryID],0)),"")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E392">
        <f>IFERROR(INDEX(Dim_Category[CategoryName],MATCH(INDEX(Dim_Vendor[DefaultCategoryID],MATCH($D392,Dim_Vendor[VendorName],0)),Dim_Category[CategoryID],0)),"")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E393">
        <f>IFERROR(INDEX(Dim_Category[CategoryName],MATCH(INDEX(Dim_Vendor[DefaultCategoryID],MATCH($D393,Dim_Vendor[VendorName],0)),Dim_Category[CategoryID],0)),"")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E394">
        <f>IFERROR(INDEX(Dim_Category[CategoryName],MATCH(INDEX(Dim_Vendor[DefaultCategoryID],MATCH($D394,Dim_Vendor[VendorName],0)),Dim_Category[CategoryID],0)),"")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E395">
        <f>IFERROR(INDEX(Dim_Category[CategoryName],MATCH(INDEX(Dim_Vendor[DefaultCategoryID],MATCH($D395,Dim_Vendor[VendorName],0)),Dim_Category[CategoryID],0)),"")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E396">
        <f>IFERROR(INDEX(Dim_Category[CategoryName],MATCH(INDEX(Dim_Vendor[DefaultCategoryID],MATCH($D396,Dim_Vendor[VendorName],0)),Dim_Category[CategoryID],0)),"")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E397">
        <f>IFERROR(INDEX(Dim_Category[CategoryName],MATCH(INDEX(Dim_Vendor[DefaultCategoryID],MATCH($D397,Dim_Vendor[VendorName],0)),Dim_Category[CategoryID],0)),"")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E398">
        <f>IFERROR(INDEX(Dim_Category[CategoryName],MATCH(INDEX(Dim_Vendor[DefaultCategoryID],MATCH($D398,Dim_Vendor[VendorName],0)),Dim_Category[CategoryID],0)),"")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E399">
        <f>IFERROR(INDEX(Dim_Category[CategoryName],MATCH(INDEX(Dim_Vendor[DefaultCategoryID],MATCH($D399,Dim_Vendor[VendorName],0)),Dim_Category[CategoryID],0)),"")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E400">
        <f>IFERROR(INDEX(Dim_Category[CategoryName],MATCH(INDEX(Dim_Vendor[DefaultCategoryID],MATCH($D400,Dim_Vendor[VendorName],0)),Dim_Category[CategoryID],0)),"")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E401">
        <f>IFERROR(INDEX(Dim_Category[CategoryName],MATCH(INDEX(Dim_Vendor[DefaultCategoryID],MATCH($D401,Dim_Vendor[VendorName],0)),Dim_Category[CategoryID],0)),"")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E402">
        <f>IFERROR(INDEX(Dim_Category[CategoryName],MATCH(INDEX(Dim_Vendor[DefaultCategoryID],MATCH($D402,Dim_Vendor[VendorName],0)),Dim_Category[CategoryID],0)),"")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E403">
        <f>IFERROR(INDEX(Dim_Category[CategoryName],MATCH(INDEX(Dim_Vendor[DefaultCategoryID],MATCH($D403,Dim_Vendor[VendorName],0)),Dim_Category[CategoryID],0)),"")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E404">
        <f>IFERROR(INDEX(Dim_Category[CategoryName],MATCH(INDEX(Dim_Vendor[DefaultCategoryID],MATCH($D404,Dim_Vendor[VendorName],0)),Dim_Category[CategoryID],0)),"")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E405">
        <f>IFERROR(INDEX(Dim_Category[CategoryName],MATCH(INDEX(Dim_Vendor[DefaultCategoryID],MATCH($D405,Dim_Vendor[VendorName],0)),Dim_Category[CategoryID],0)),"")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E406">
        <f>IFERROR(INDEX(Dim_Category[CategoryName],MATCH(INDEX(Dim_Vendor[DefaultCategoryID],MATCH($D406,Dim_Vendor[VendorName],0)),Dim_Category[CategoryID],0)),"")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E407">
        <f>IFERROR(INDEX(Dim_Category[CategoryName],MATCH(INDEX(Dim_Vendor[DefaultCategoryID],MATCH($D407,Dim_Vendor[VendorName],0)),Dim_Category[CategoryID],0)),"")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E408">
        <f>IFERROR(INDEX(Dim_Category[CategoryName],MATCH(INDEX(Dim_Vendor[DefaultCategoryID],MATCH($D408,Dim_Vendor[VendorName],0)),Dim_Category[CategoryID],0)),"")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E409">
        <f>IFERROR(INDEX(Dim_Category[CategoryName],MATCH(INDEX(Dim_Vendor[DefaultCategoryID],MATCH($D409,Dim_Vendor[VendorName],0)),Dim_Category[CategoryID],0)),"")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E410">
        <f>IFERROR(INDEX(Dim_Category[CategoryName],MATCH(INDEX(Dim_Vendor[DefaultCategoryID],MATCH($D410,Dim_Vendor[VendorName],0)),Dim_Category[CategoryID],0)),"")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E411">
        <f>IFERROR(INDEX(Dim_Category[CategoryName],MATCH(INDEX(Dim_Vendor[DefaultCategoryID],MATCH($D411,Dim_Vendor[VendorName],0)),Dim_Category[CategoryID],0)),"")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E412">
        <f>IFERROR(INDEX(Dim_Category[CategoryName],MATCH(INDEX(Dim_Vendor[DefaultCategoryID],MATCH($D412,Dim_Vendor[VendorName],0)),Dim_Category[CategoryID],0)),"")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E413">
        <f>IFERROR(INDEX(Dim_Category[CategoryName],MATCH(INDEX(Dim_Vendor[DefaultCategoryID],MATCH($D413,Dim_Vendor[VendorName],0)),Dim_Category[CategoryID],0)),"")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E414">
        <f>IFERROR(INDEX(Dim_Category[CategoryName],MATCH(INDEX(Dim_Vendor[DefaultCategoryID],MATCH($D414,Dim_Vendor[VendorName],0)),Dim_Category[CategoryID],0)),"")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E415">
        <f>IFERROR(INDEX(Dim_Category[CategoryName],MATCH(INDEX(Dim_Vendor[DefaultCategoryID],MATCH($D415,Dim_Vendor[VendorName],0)),Dim_Category[CategoryID],0)),"")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E416">
        <f>IFERROR(INDEX(Dim_Category[CategoryName],MATCH(INDEX(Dim_Vendor[DefaultCategoryID],MATCH($D416,Dim_Vendor[VendorName],0)),Dim_Category[CategoryID],0)),"")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E417">
        <f>IFERROR(INDEX(Dim_Category[CategoryName],MATCH(INDEX(Dim_Vendor[DefaultCategoryID],MATCH($D417,Dim_Vendor[VendorName],0)),Dim_Category[CategoryID],0)),"")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E418">
        <f>IFERROR(INDEX(Dim_Category[CategoryName],MATCH(INDEX(Dim_Vendor[DefaultCategoryID],MATCH($D418,Dim_Vendor[VendorName],0)),Dim_Category[CategoryID],0)),"")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E419">
        <f>IFERROR(INDEX(Dim_Category[CategoryName],MATCH(INDEX(Dim_Vendor[DefaultCategoryID],MATCH($D419,Dim_Vendor[VendorName],0)),Dim_Category[CategoryID],0)),"")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E420">
        <f>IFERROR(INDEX(Dim_Category[CategoryName],MATCH(INDEX(Dim_Vendor[DefaultCategoryID],MATCH($D420,Dim_Vendor[VendorName],0)),Dim_Category[CategoryID],0)),"")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E421">
        <f>IFERROR(INDEX(Dim_Category[CategoryName],MATCH(INDEX(Dim_Vendor[DefaultCategoryID],MATCH($D421,Dim_Vendor[VendorName],0)),Dim_Category[CategoryID],0)),"")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E422">
        <f>IFERROR(INDEX(Dim_Category[CategoryName],MATCH(INDEX(Dim_Vendor[DefaultCategoryID],MATCH($D422,Dim_Vendor[VendorName],0)),Dim_Category[CategoryID],0)),"")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E423">
        <f>IFERROR(INDEX(Dim_Category[CategoryName],MATCH(INDEX(Dim_Vendor[DefaultCategoryID],MATCH($D423,Dim_Vendor[VendorName],0)),Dim_Category[CategoryID],0)),"")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E424">
        <f>IFERROR(INDEX(Dim_Category[CategoryName],MATCH(INDEX(Dim_Vendor[DefaultCategoryID],MATCH($D424,Dim_Vendor[VendorName],0)),Dim_Category[CategoryID],0)),"")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E425">
        <f>IFERROR(INDEX(Dim_Category[CategoryName],MATCH(INDEX(Dim_Vendor[DefaultCategoryID],MATCH($D425,Dim_Vendor[VendorName],0)),Dim_Category[CategoryID],0)),"")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E426">
        <f>IFERROR(INDEX(Dim_Category[CategoryName],MATCH(INDEX(Dim_Vendor[DefaultCategoryID],MATCH($D426,Dim_Vendor[VendorName],0)),Dim_Category[CategoryID],0)),"")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E427">
        <f>IFERROR(INDEX(Dim_Category[CategoryName],MATCH(INDEX(Dim_Vendor[DefaultCategoryID],MATCH($D427,Dim_Vendor[VendorName],0)),Dim_Category[CategoryID],0)),"")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E428">
        <f>IFERROR(INDEX(Dim_Category[CategoryName],MATCH(INDEX(Dim_Vendor[DefaultCategoryID],MATCH($D428,Dim_Vendor[VendorName],0)),Dim_Category[CategoryID],0)),"")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E429">
        <f>IFERROR(INDEX(Dim_Category[CategoryName],MATCH(INDEX(Dim_Vendor[DefaultCategoryID],MATCH($D429,Dim_Vendor[VendorName],0)),Dim_Category[CategoryID],0)),"")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E430">
        <f>IFERROR(INDEX(Dim_Category[CategoryName],MATCH(INDEX(Dim_Vendor[DefaultCategoryID],MATCH($D430,Dim_Vendor[VendorName],0)),Dim_Category[CategoryID],0)),"")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E431">
        <f>IFERROR(INDEX(Dim_Category[CategoryName],MATCH(INDEX(Dim_Vendor[DefaultCategoryID],MATCH($D431,Dim_Vendor[VendorName],0)),Dim_Category[CategoryID],0)),"")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E432">
        <f>IFERROR(INDEX(Dim_Category[CategoryName],MATCH(INDEX(Dim_Vendor[DefaultCategoryID],MATCH($D432,Dim_Vendor[VendorName],0)),Dim_Category[CategoryID],0)),"")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E433">
        <f>IFERROR(INDEX(Dim_Category[CategoryName],MATCH(INDEX(Dim_Vendor[DefaultCategoryID],MATCH($D433,Dim_Vendor[VendorName],0)),Dim_Category[CategoryID],0)),"")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E434">
        <f>IFERROR(INDEX(Dim_Category[CategoryName],MATCH(INDEX(Dim_Vendor[DefaultCategoryID],MATCH($D434,Dim_Vendor[VendorName],0)),Dim_Category[CategoryID],0)),"")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E435">
        <f>IFERROR(INDEX(Dim_Category[CategoryName],MATCH(INDEX(Dim_Vendor[DefaultCategoryID],MATCH($D435,Dim_Vendor[VendorName],0)),Dim_Category[CategoryID],0)),"")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E436">
        <f>IFERROR(INDEX(Dim_Category[CategoryName],MATCH(INDEX(Dim_Vendor[DefaultCategoryID],MATCH($D436,Dim_Vendor[VendorName],0)),Dim_Category[CategoryID],0)),"")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E437">
        <f>IFERROR(INDEX(Dim_Category[CategoryName],MATCH(INDEX(Dim_Vendor[DefaultCategoryID],MATCH($D437,Dim_Vendor[VendorName],0)),Dim_Category[CategoryID],0)),"")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E438">
        <f>IFERROR(INDEX(Dim_Category[CategoryName],MATCH(INDEX(Dim_Vendor[DefaultCategoryID],MATCH($D438,Dim_Vendor[VendorName],0)),Dim_Category[CategoryID],0)),"")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E439">
        <f>IFERROR(INDEX(Dim_Category[CategoryName],MATCH(INDEX(Dim_Vendor[DefaultCategoryID],MATCH($D439,Dim_Vendor[VendorName],0)),Dim_Category[CategoryID],0)),"")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E440">
        <f>IFERROR(INDEX(Dim_Category[CategoryName],MATCH(INDEX(Dim_Vendor[DefaultCategoryID],MATCH($D440,Dim_Vendor[VendorName],0)),Dim_Category[CategoryID],0)),"")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E441">
        <f>IFERROR(INDEX(Dim_Category[CategoryName],MATCH(INDEX(Dim_Vendor[DefaultCategoryID],MATCH($D441,Dim_Vendor[VendorName],0)),Dim_Category[CategoryID],0)),"")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E442">
        <f>IFERROR(INDEX(Dim_Category[CategoryName],MATCH(INDEX(Dim_Vendor[DefaultCategoryID],MATCH($D442,Dim_Vendor[VendorName],0)),Dim_Category[CategoryID],0)),"")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E443">
        <f>IFERROR(INDEX(Dim_Category[CategoryName],MATCH(INDEX(Dim_Vendor[DefaultCategoryID],MATCH($D443,Dim_Vendor[VendorName],0)),Dim_Category[CategoryID],0)),"")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E444">
        <f>IFERROR(INDEX(Dim_Category[CategoryName],MATCH(INDEX(Dim_Vendor[DefaultCategoryID],MATCH($D444,Dim_Vendor[VendorName],0)),Dim_Category[CategoryID],0)),"")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E445">
        <f>IFERROR(INDEX(Dim_Category[CategoryName],MATCH(INDEX(Dim_Vendor[DefaultCategoryID],MATCH($D445,Dim_Vendor[VendorName],0)),Dim_Category[CategoryID],0)),"")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E446">
        <f>IFERROR(INDEX(Dim_Category[CategoryName],MATCH(INDEX(Dim_Vendor[DefaultCategoryID],MATCH($D446,Dim_Vendor[VendorName],0)),Dim_Category[CategoryID],0)),"")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E447">
        <f>IFERROR(INDEX(Dim_Category[CategoryName],MATCH(INDEX(Dim_Vendor[DefaultCategoryID],MATCH($D447,Dim_Vendor[VendorName],0)),Dim_Category[CategoryID],0)),"")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E448">
        <f>IFERROR(INDEX(Dim_Category[CategoryName],MATCH(INDEX(Dim_Vendor[DefaultCategoryID],MATCH($D448,Dim_Vendor[VendorName],0)),Dim_Category[CategoryID],0)),"")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E449">
        <f>IFERROR(INDEX(Dim_Category[CategoryName],MATCH(INDEX(Dim_Vendor[DefaultCategoryID],MATCH($D449,Dim_Vendor[VendorName],0)),Dim_Category[CategoryID],0)),"")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E450">
        <f>IFERROR(INDEX(Dim_Category[CategoryName],MATCH(INDEX(Dim_Vendor[DefaultCategoryID],MATCH($D450,Dim_Vendor[VendorName],0)),Dim_Category[CategoryID],0)),"")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E451">
        <f>IFERROR(INDEX(Dim_Category[CategoryName],MATCH(INDEX(Dim_Vendor[DefaultCategoryID],MATCH($D451,Dim_Vendor[VendorName],0)),Dim_Category[CategoryID],0)),"")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E452">
        <f>IFERROR(INDEX(Dim_Category[CategoryName],MATCH(INDEX(Dim_Vendor[DefaultCategoryID],MATCH($D452,Dim_Vendor[VendorName],0)),Dim_Category[CategoryID],0)),"")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E453">
        <f>IFERROR(INDEX(Dim_Category[CategoryName],MATCH(INDEX(Dim_Vendor[DefaultCategoryID],MATCH($D453,Dim_Vendor[VendorName],0)),Dim_Category[CategoryID],0)),"")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E454">
        <f>IFERROR(INDEX(Dim_Category[CategoryName],MATCH(INDEX(Dim_Vendor[DefaultCategoryID],MATCH($D454,Dim_Vendor[VendorName],0)),Dim_Category[CategoryID],0)),"")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E455">
        <f>IFERROR(INDEX(Dim_Category[CategoryName],MATCH(INDEX(Dim_Vendor[DefaultCategoryID],MATCH($D455,Dim_Vendor[VendorName],0)),Dim_Category[CategoryID],0)),"")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E456">
        <f>IFERROR(INDEX(Dim_Category[CategoryName],MATCH(INDEX(Dim_Vendor[DefaultCategoryID],MATCH($D456,Dim_Vendor[VendorName],0)),Dim_Category[CategoryID],0)),"")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E457">
        <f>IFERROR(INDEX(Dim_Category[CategoryName],MATCH(INDEX(Dim_Vendor[DefaultCategoryID],MATCH($D457,Dim_Vendor[VendorName],0)),Dim_Category[CategoryID],0)),"")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E458">
        <f>IFERROR(INDEX(Dim_Category[CategoryName],MATCH(INDEX(Dim_Vendor[DefaultCategoryID],MATCH($D458,Dim_Vendor[VendorName],0)),Dim_Category[CategoryID],0)),"")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E459">
        <f>IFERROR(INDEX(Dim_Category[CategoryName],MATCH(INDEX(Dim_Vendor[DefaultCategoryID],MATCH($D459,Dim_Vendor[VendorName],0)),Dim_Category[CategoryID],0)),"")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E460">
        <f>IFERROR(INDEX(Dim_Category[CategoryName],MATCH(INDEX(Dim_Vendor[DefaultCategoryID],MATCH($D460,Dim_Vendor[VendorName],0)),Dim_Category[CategoryID],0)),"")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E461">
        <f>IFERROR(INDEX(Dim_Category[CategoryName],MATCH(INDEX(Dim_Vendor[DefaultCategoryID],MATCH($D461,Dim_Vendor[VendorName],0)),Dim_Category[CategoryID],0)),"")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E462">
        <f>IFERROR(INDEX(Dim_Category[CategoryName],MATCH(INDEX(Dim_Vendor[DefaultCategoryID],MATCH($D462,Dim_Vendor[VendorName],0)),Dim_Category[CategoryID],0)),"")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E463">
        <f>IFERROR(INDEX(Dim_Category[CategoryName],MATCH(INDEX(Dim_Vendor[DefaultCategoryID],MATCH($D463,Dim_Vendor[VendorName],0)),Dim_Category[CategoryID],0)),"")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E464">
        <f>IFERROR(INDEX(Dim_Category[CategoryName],MATCH(INDEX(Dim_Vendor[DefaultCategoryID],MATCH($D464,Dim_Vendor[VendorName],0)),Dim_Category[CategoryID],0)),"")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E465">
        <f>IFERROR(INDEX(Dim_Category[CategoryName],MATCH(INDEX(Dim_Vendor[DefaultCategoryID],MATCH($D465,Dim_Vendor[VendorName],0)),Dim_Category[CategoryID],0)),"")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E466">
        <f>IFERROR(INDEX(Dim_Category[CategoryName],MATCH(INDEX(Dim_Vendor[DefaultCategoryID],MATCH($D466,Dim_Vendor[VendorName],0)),Dim_Category[CategoryID],0)),"")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E467">
        <f>IFERROR(INDEX(Dim_Category[CategoryName],MATCH(INDEX(Dim_Vendor[DefaultCategoryID],MATCH($D467,Dim_Vendor[VendorName],0)),Dim_Category[CategoryID],0)),"")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E468">
        <f>IFERROR(INDEX(Dim_Category[CategoryName],MATCH(INDEX(Dim_Vendor[DefaultCategoryID],MATCH($D468,Dim_Vendor[VendorName],0)),Dim_Category[CategoryID],0)),"")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E469">
        <f>IFERROR(INDEX(Dim_Category[CategoryName],MATCH(INDEX(Dim_Vendor[DefaultCategoryID],MATCH($D469,Dim_Vendor[VendorName],0)),Dim_Category[CategoryID],0)),"")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E470">
        <f>IFERROR(INDEX(Dim_Category[CategoryName],MATCH(INDEX(Dim_Vendor[DefaultCategoryID],MATCH($D470,Dim_Vendor[VendorName],0)),Dim_Category[CategoryID],0)),"")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E471">
        <f>IFERROR(INDEX(Dim_Category[CategoryName],MATCH(INDEX(Dim_Vendor[DefaultCategoryID],MATCH($D471,Dim_Vendor[VendorName],0)),Dim_Category[CategoryID],0)),"")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E472">
        <f>IFERROR(INDEX(Dim_Category[CategoryName],MATCH(INDEX(Dim_Vendor[DefaultCategoryID],MATCH($D472,Dim_Vendor[VendorName],0)),Dim_Category[CategoryID],0)),"")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E473">
        <f>IFERROR(INDEX(Dim_Category[CategoryName],MATCH(INDEX(Dim_Vendor[DefaultCategoryID],MATCH($D473,Dim_Vendor[VendorName],0)),Dim_Category[CategoryID],0)),"")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E474">
        <f>IFERROR(INDEX(Dim_Category[CategoryName],MATCH(INDEX(Dim_Vendor[DefaultCategoryID],MATCH($D474,Dim_Vendor[VendorName],0)),Dim_Category[CategoryID],0)),"")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E475">
        <f>IFERROR(INDEX(Dim_Category[CategoryName],MATCH(INDEX(Dim_Vendor[DefaultCategoryID],MATCH($D475,Dim_Vendor[VendorName],0)),Dim_Category[CategoryID],0)),"")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E476">
        <f>IFERROR(INDEX(Dim_Category[CategoryName],MATCH(INDEX(Dim_Vendor[DefaultCategoryID],MATCH($D476,Dim_Vendor[VendorName],0)),Dim_Category[CategoryID],0)),"")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E477">
        <f>IFERROR(INDEX(Dim_Category[CategoryName],MATCH(INDEX(Dim_Vendor[DefaultCategoryID],MATCH($D477,Dim_Vendor[VendorName],0)),Dim_Category[CategoryID],0)),"")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E478">
        <f>IFERROR(INDEX(Dim_Category[CategoryName],MATCH(INDEX(Dim_Vendor[DefaultCategoryID],MATCH($D478,Dim_Vendor[VendorName],0)),Dim_Category[CategoryID],0)),"")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E479">
        <f>IFERROR(INDEX(Dim_Category[CategoryName],MATCH(INDEX(Dim_Vendor[DefaultCategoryID],MATCH($D479,Dim_Vendor[VendorName],0)),Dim_Category[CategoryID],0)),"")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E480">
        <f>IFERROR(INDEX(Dim_Category[CategoryName],MATCH(INDEX(Dim_Vendor[DefaultCategoryID],MATCH($D480,Dim_Vendor[VendorName],0)),Dim_Category[CategoryID],0)),"")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E481">
        <f>IFERROR(INDEX(Dim_Category[CategoryName],MATCH(INDEX(Dim_Vendor[DefaultCategoryID],MATCH($D481,Dim_Vendor[VendorName],0)),Dim_Category[CategoryID],0)),"")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E482">
        <f>IFERROR(INDEX(Dim_Category[CategoryName],MATCH(INDEX(Dim_Vendor[DefaultCategoryID],MATCH($D482,Dim_Vendor[VendorName],0)),Dim_Category[CategoryID],0)),"")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E483">
        <f>IFERROR(INDEX(Dim_Category[CategoryName],MATCH(INDEX(Dim_Vendor[DefaultCategoryID],MATCH($D483,Dim_Vendor[VendorName],0)),Dim_Category[CategoryID],0)),"")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E484">
        <f>IFERROR(INDEX(Dim_Category[CategoryName],MATCH(INDEX(Dim_Vendor[DefaultCategoryID],MATCH($D484,Dim_Vendor[VendorName],0)),Dim_Category[CategoryID],0)),"")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E485">
        <f>IFERROR(INDEX(Dim_Category[CategoryName],MATCH(INDEX(Dim_Vendor[DefaultCategoryID],MATCH($D485,Dim_Vendor[VendorName],0)),Dim_Category[CategoryID],0)),"")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E486">
        <f>IFERROR(INDEX(Dim_Category[CategoryName],MATCH(INDEX(Dim_Vendor[DefaultCategoryID],MATCH($D486,Dim_Vendor[VendorName],0)),Dim_Category[CategoryID],0)),"")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E487">
        <f>IFERROR(INDEX(Dim_Category[CategoryName],MATCH(INDEX(Dim_Vendor[DefaultCategoryID],MATCH($D487,Dim_Vendor[VendorName],0)),Dim_Category[CategoryID],0)),"")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E488">
        <f>IFERROR(INDEX(Dim_Category[CategoryName],MATCH(INDEX(Dim_Vendor[DefaultCategoryID],MATCH($D488,Dim_Vendor[VendorName],0)),Dim_Category[CategoryID],0)),"")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E489">
        <f>IFERROR(INDEX(Dim_Category[CategoryName],MATCH(INDEX(Dim_Vendor[DefaultCategoryID],MATCH($D489,Dim_Vendor[VendorName],0)),Dim_Category[CategoryID],0)),"")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E490">
        <f>IFERROR(INDEX(Dim_Category[CategoryName],MATCH(INDEX(Dim_Vendor[DefaultCategoryID],MATCH($D490,Dim_Vendor[VendorName],0)),Dim_Category[CategoryID],0)),"")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E491">
        <f>IFERROR(INDEX(Dim_Category[CategoryName],MATCH(INDEX(Dim_Vendor[DefaultCategoryID],MATCH($D491,Dim_Vendor[VendorName],0)),Dim_Category[CategoryID],0)),"")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E492">
        <f>IFERROR(INDEX(Dim_Category[CategoryName],MATCH(INDEX(Dim_Vendor[DefaultCategoryID],MATCH($D492,Dim_Vendor[VendorName],0)),Dim_Category[CategoryID],0)),"")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E493">
        <f>IFERROR(INDEX(Dim_Category[CategoryName],MATCH(INDEX(Dim_Vendor[DefaultCategoryID],MATCH($D493,Dim_Vendor[VendorName],0)),Dim_Category[CategoryID],0)),"")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E494">
        <f>IFERROR(INDEX(Dim_Category[CategoryName],MATCH(INDEX(Dim_Vendor[DefaultCategoryID],MATCH($D494,Dim_Vendor[VendorName],0)),Dim_Category[CategoryID],0)),"")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E495">
        <f>IFERROR(INDEX(Dim_Category[CategoryName],MATCH(INDEX(Dim_Vendor[DefaultCategoryID],MATCH($D495,Dim_Vendor[VendorName],0)),Dim_Category[CategoryID],0)),"")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E496">
        <f>IFERROR(INDEX(Dim_Category[CategoryName],MATCH(INDEX(Dim_Vendor[DefaultCategoryID],MATCH($D496,Dim_Vendor[VendorName],0)),Dim_Category[CategoryID],0)),"")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E497">
        <f>IFERROR(INDEX(Dim_Category[CategoryName],MATCH(INDEX(Dim_Vendor[DefaultCategoryID],MATCH($D497,Dim_Vendor[VendorName],0)),Dim_Category[CategoryID],0)),"")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E498">
        <f>IFERROR(INDEX(Dim_Category[CategoryName],MATCH(INDEX(Dim_Vendor[DefaultCategoryID],MATCH($D498,Dim_Vendor[VendorName],0)),Dim_Category[CategoryID],0)),"")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E499">
        <f>IFERROR(INDEX(Dim_Category[CategoryName],MATCH(INDEX(Dim_Vendor[DefaultCategoryID],MATCH($D499,Dim_Vendor[VendorName],0)),Dim_Category[CategoryID],0)),"")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E500">
        <f>IFERROR(INDEX(Dim_Category[CategoryName],MATCH(INDEX(Dim_Vendor[DefaultCategoryID],MATCH($D500,Dim_Vendor[VendorName],0)),Dim_Category[CategoryID],0)),"")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E501">
        <f>IFERROR(INDEX(Dim_Category[CategoryName],MATCH(INDEX(Dim_Vendor[DefaultCategoryID],MATCH($D501,Dim_Vendor[VendorName],0)),Dim_Category[CategoryID],0)),"")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E502">
        <f>IFERROR(INDEX(Dim_Category[CategoryName],MATCH(INDEX(Dim_Vendor[DefaultCategoryID],MATCH($D502,Dim_Vendor[VendorName],0)),Dim_Category[CategoryID],0)),"")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E503">
        <f>IFERROR(INDEX(Dim_Category[CategoryName],MATCH(INDEX(Dim_Vendor[DefaultCategoryID],MATCH($D503,Dim_Vendor[VendorName],0)),Dim_Category[CategoryID],0)),"")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E504">
        <f>IFERROR(INDEX(Dim_Category[CategoryName],MATCH(INDEX(Dim_Vendor[DefaultCategoryID],MATCH($D504,Dim_Vendor[VendorName],0)),Dim_Category[CategoryID],0)),"")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E505">
        <f>IFERROR(INDEX(Dim_Category[CategoryName],MATCH(INDEX(Dim_Vendor[DefaultCategoryID],MATCH($D505,Dim_Vendor[VendorName],0)),Dim_Category[CategoryID],0)),"")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E506">
        <f>IFERROR(INDEX(Dim_Category[CategoryName],MATCH(INDEX(Dim_Vendor[DefaultCategoryID],MATCH($D506,Dim_Vendor[VendorName],0)),Dim_Category[CategoryID],0)),"")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E507">
        <f>IFERROR(INDEX(Dim_Category[CategoryName],MATCH(INDEX(Dim_Vendor[DefaultCategoryID],MATCH($D507,Dim_Vendor[VendorName],0)),Dim_Category[CategoryID],0)),"")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E508">
        <f>IFERROR(INDEX(Dim_Category[CategoryName],MATCH(INDEX(Dim_Vendor[DefaultCategoryID],MATCH($D508,Dim_Vendor[VendorName],0)),Dim_Category[CategoryID],0)),"")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E509">
        <f>IFERROR(INDEX(Dim_Category[CategoryName],MATCH(INDEX(Dim_Vendor[DefaultCategoryID],MATCH($D509,Dim_Vendor[VendorName],0)),Dim_Category[CategoryID],0)),"")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E510">
        <f>IFERROR(INDEX(Dim_Category[CategoryName],MATCH(INDEX(Dim_Vendor[DefaultCategoryID],MATCH($D510,Dim_Vendor[VendorName],0)),Dim_Category[CategoryID],0)),"")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E511">
        <f>IFERROR(INDEX(Dim_Category[CategoryName],MATCH(INDEX(Dim_Vendor[DefaultCategoryID],MATCH($D511,Dim_Vendor[VendorName],0)),Dim_Category[CategoryID],0)),"")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E512">
        <f>IFERROR(INDEX(Dim_Category[CategoryName],MATCH(INDEX(Dim_Vendor[DefaultCategoryID],MATCH($D512,Dim_Vendor[VendorName],0)),Dim_Category[CategoryID],0)),"")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E513">
        <f>IFERROR(INDEX(Dim_Category[CategoryName],MATCH(INDEX(Dim_Vendor[DefaultCategoryID],MATCH($D513,Dim_Vendor[VendorName],0)),Dim_Category[CategoryID],0)),"")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E514">
        <f>IFERROR(INDEX(Dim_Category[CategoryName],MATCH(INDEX(Dim_Vendor[DefaultCategoryID],MATCH($D514,Dim_Vendor[VendorName],0)),Dim_Category[CategoryID],0)),"")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</sheetData>
  <mergeCells count="10">
    <mergeCell ref="A6:K6"/>
    <mergeCell ref="A4:K4"/>
    <mergeCell ref="A9:K9"/>
    <mergeCell ref="A11:C11"/>
    <mergeCell ref="A7:K7"/>
    <mergeCell ref="E11:K11"/>
    <mergeCell ref="A13:K13"/>
    <mergeCell ref="A5:K5"/>
    <mergeCell ref="A1:K2"/>
    <mergeCell ref="A8:K8"/>
  </mergeCells>
  <conditionalFormatting sqref="H15:H514">
    <cfRule type="cellIs" priority="1" operator="equal" dxfId="3">
      <formula>"Expense"</formula>
    </cfRule>
    <cfRule type="cellIs" priority="2" operator="equal" dxfId="4">
      <formula>"Income"</formula>
    </cfRule>
  </conditionalFormatting>
  <conditionalFormatting sqref="D15:D514">
    <cfRule type="expression" priority="3" dxfId="5">
      <formula>AND($C15&lt;&gt;"",$D15="")</formula>
    </cfRule>
  </conditionalFormatting>
  <dataValidations count="6">
    <dataValidation sqref="D11" showDropDown="0" showInputMessage="0" showErrorMessage="0" allowBlank="0" type="list">
      <formula1>"Negative = Expense,Positive = Expense"</formula1>
    </dataValidation>
    <dataValidation sqref="D15:D514" showDropDown="0" showInputMessage="0" showErrorMessage="1" allowBlank="1" errorTitle="Invalid Entry" error="Please choose a value from the dropdown list." type="list">
      <formula1>=VendorNameList</formula1>
    </dataValidation>
    <dataValidation sqref="E15:E514" showDropDown="0" showInputMessage="0" showErrorMessage="1" allowBlank="1" errorTitle="Invalid Entry" error="Please choose a value from the dropdown list." type="list">
      <formula1>=ExpenseCategoryList</formula1>
    </dataValidation>
    <dataValidation sqref="F15:F514" showDropDown="0" showInputMessage="0" showErrorMessage="1" allowBlank="1" errorTitle="Invalid Entry" error="Please choose a value from the dropdown list." type="list">
      <formula1>=AccountNameList</formula1>
    </dataValidation>
    <dataValidation sqref="G15:G514" showDropDown="0" showInputMessage="0" showErrorMessage="1" allowBlank="1" errorTitle="Invalid Entry" error="Please choose a value from the dropdown list." type="list">
      <formula1>=PaymentMethodList</formula1>
    </dataValidation>
    <dataValidation sqref="J15:J514" showDropDown="0" showInputMessage="0" showErrorMessage="1" allowBlank="1" errorTitle="Invalid Entry" error="Please choose a value from the dropdown list." type="list">
      <formula1>=List_NeedWant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M3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</row>
    <row r="12">
      <c r="A12" s="38">
        <f>ROW()-11</f>
        <v/>
      </c>
      <c r="B12" s="39" t="n">
        <v>45839</v>
      </c>
      <c r="C12" s="38" t="inlineStr">
        <is>
          <t>Employer Payroll Inc</t>
        </is>
      </c>
      <c r="D12" s="38">
        <f>IFERROR(INDEX(Dim_Source[SourceID],MATCH($C12,Dim_Source[SourceName],0)),"")</f>
        <v/>
      </c>
      <c r="E12" s="38" t="inlineStr">
        <is>
          <t>Payroll</t>
        </is>
      </c>
      <c r="F12" s="38">
        <f>IFERROR(INDEX(Dim_Category[CategoryID],MATCH($E12,Dim_Category[CategoryName],0)),"")</f>
        <v/>
      </c>
      <c r="G12" s="38" t="inlineStr">
        <is>
          <t>Checking</t>
        </is>
      </c>
      <c r="H12" s="38">
        <f>IFERROR(INDEX(Dim_Account[AccountID],MATCH($G12,Dim_Account[AccountName],0)),"")</f>
        <v/>
      </c>
      <c r="I12" s="40" t="n">
        <v>5100</v>
      </c>
      <c r="J12" s="40" t="n">
        <v>1224</v>
      </c>
      <c r="K12" s="40">
        <f>$I12-$J12</f>
        <v/>
      </c>
      <c r="L12" s="38" t="inlineStr">
        <is>
          <t>Yes</t>
        </is>
      </c>
      <c r="M12" s="38" t="inlineStr">
        <is>
          <t>Semi-monthly payroll</t>
        </is>
      </c>
    </row>
    <row r="13">
      <c r="A13" s="38">
        <f>ROW()-11</f>
        <v/>
      </c>
      <c r="B13" s="39" t="n">
        <v>45853</v>
      </c>
      <c r="C13" s="38" t="inlineStr">
        <is>
          <t>Employer Payroll Inc</t>
        </is>
      </c>
      <c r="D13" s="38">
        <f>IFERROR(INDEX(Dim_Source[SourceID],MATCH($C13,Dim_Source[SourceName],0)),"")</f>
        <v/>
      </c>
      <c r="E13" s="38" t="inlineStr">
        <is>
          <t>Payroll</t>
        </is>
      </c>
      <c r="F13" s="38">
        <f>IFERROR(INDEX(Dim_Category[CategoryID],MATCH($E13,Dim_Category[CategoryName],0)),"")</f>
        <v/>
      </c>
      <c r="G13" s="38" t="inlineStr">
        <is>
          <t>Checking</t>
        </is>
      </c>
      <c r="H13" s="38">
        <f>IFERROR(INDEX(Dim_Account[AccountID],MATCH($G13,Dim_Account[AccountName],0)),"")</f>
        <v/>
      </c>
      <c r="I13" s="40" t="n">
        <v>5100</v>
      </c>
      <c r="J13" s="40" t="n">
        <v>1224</v>
      </c>
      <c r="K13" s="40">
        <f>$I13-$J13</f>
        <v/>
      </c>
      <c r="L13" s="38" t="inlineStr">
        <is>
          <t>Yes</t>
        </is>
      </c>
      <c r="M13" s="38" t="inlineStr">
        <is>
          <t>Semi-monthly payroll</t>
        </is>
      </c>
    </row>
    <row r="14">
      <c r="A14" s="38">
        <f>ROW()-11</f>
        <v/>
      </c>
      <c r="B14" s="39" t="n">
        <v>45870</v>
      </c>
      <c r="C14" s="38" t="inlineStr">
        <is>
          <t>Employer Payroll Inc</t>
        </is>
      </c>
      <c r="D14" s="38">
        <f>IFERROR(INDEX(Dim_Source[SourceID],MATCH($C14,Dim_Source[SourceName],0)),"")</f>
        <v/>
      </c>
      <c r="E14" s="38" t="inlineStr">
        <is>
          <t>Payroll</t>
        </is>
      </c>
      <c r="F14" s="38">
        <f>IFERROR(INDEX(Dim_Category[CategoryID],MATCH($E14,Dim_Category[CategoryName],0)),"")</f>
        <v/>
      </c>
      <c r="G14" s="38" t="inlineStr">
        <is>
          <t>Checking</t>
        </is>
      </c>
      <c r="H14" s="38">
        <f>IFERROR(INDEX(Dim_Account[AccountID],MATCH($G14,Dim_Account[AccountName],0)),"")</f>
        <v/>
      </c>
      <c r="I14" s="40" t="n">
        <v>5100</v>
      </c>
      <c r="J14" s="40" t="n">
        <v>1224</v>
      </c>
      <c r="K14" s="40">
        <f>$I14-$J14</f>
        <v/>
      </c>
      <c r="L14" s="38" t="inlineStr">
        <is>
          <t>Yes</t>
        </is>
      </c>
      <c r="M14" s="38" t="inlineStr">
        <is>
          <t>Semi-monthly payroll</t>
        </is>
      </c>
    </row>
    <row r="15">
      <c r="A15" s="38">
        <f>ROW()-11</f>
        <v/>
      </c>
      <c r="B15" s="39" t="n">
        <v>45884</v>
      </c>
      <c r="C15" s="38" t="inlineStr">
        <is>
          <t>Employer Payroll Inc</t>
        </is>
      </c>
      <c r="D15" s="38">
        <f>IFERROR(INDEX(Dim_Source[SourceID],MATCH($C15,Dim_Source[SourceName],0)),"")</f>
        <v/>
      </c>
      <c r="E15" s="38" t="inlineStr">
        <is>
          <t>Payroll</t>
        </is>
      </c>
      <c r="F15" s="38">
        <f>IFERROR(INDEX(Dim_Category[CategoryID],MATCH($E15,Dim_Category[CategoryName],0)),"")</f>
        <v/>
      </c>
      <c r="G15" s="38" t="inlineStr">
        <is>
          <t>Checking</t>
        </is>
      </c>
      <c r="H15" s="38">
        <f>IFERROR(INDEX(Dim_Account[AccountID],MATCH($G15,Dim_Account[AccountName],0)),"")</f>
        <v/>
      </c>
      <c r="I15" s="40" t="n">
        <v>5100</v>
      </c>
      <c r="J15" s="40" t="n">
        <v>1224</v>
      </c>
      <c r="K15" s="40">
        <f>$I15-$J15</f>
        <v/>
      </c>
      <c r="L15" s="38" t="inlineStr">
        <is>
          <t>Yes</t>
        </is>
      </c>
      <c r="M15" s="38" t="inlineStr">
        <is>
          <t>Semi-monthly payroll</t>
        </is>
      </c>
    </row>
    <row r="16">
      <c r="A16" s="38">
        <f>ROW()-11</f>
        <v/>
      </c>
      <c r="B16" s="39" t="n">
        <v>45901</v>
      </c>
      <c r="C16" s="38" t="inlineStr">
        <is>
          <t>Employer Payroll Inc</t>
        </is>
      </c>
      <c r="D16" s="38">
        <f>IFERROR(INDEX(Dim_Source[SourceID],MATCH($C16,Dim_Source[SourceName],0)),"")</f>
        <v/>
      </c>
      <c r="E16" s="38" t="inlineStr">
        <is>
          <t>Payroll</t>
        </is>
      </c>
      <c r="F16" s="38">
        <f>IFERROR(INDEX(Dim_Category[CategoryID],MATCH($E16,Dim_Category[CategoryName],0)),"")</f>
        <v/>
      </c>
      <c r="G16" s="38" t="inlineStr">
        <is>
          <t>Checking</t>
        </is>
      </c>
      <c r="H16" s="38">
        <f>IFERROR(INDEX(Dim_Account[AccountID],MATCH($G16,Dim_Account[AccountName],0)),"")</f>
        <v/>
      </c>
      <c r="I16" s="40" t="n">
        <v>5100</v>
      </c>
      <c r="J16" s="40" t="n">
        <v>1224</v>
      </c>
      <c r="K16" s="40">
        <f>$I16-$J16</f>
        <v/>
      </c>
      <c r="L16" s="38" t="inlineStr">
        <is>
          <t>Yes</t>
        </is>
      </c>
      <c r="M16" s="38" t="inlineStr">
        <is>
          <t>Semi-monthly payroll</t>
        </is>
      </c>
    </row>
    <row r="17">
      <c r="A17" s="38">
        <f>ROW()-11</f>
        <v/>
      </c>
      <c r="B17" s="39" t="n">
        <v>45915</v>
      </c>
      <c r="C17" s="38" t="inlineStr">
        <is>
          <t>Employer Payroll Inc</t>
        </is>
      </c>
      <c r="D17" s="38">
        <f>IFERROR(INDEX(Dim_Source[SourceID],MATCH($C17,Dim_Source[SourceName],0)),"")</f>
        <v/>
      </c>
      <c r="E17" s="38" t="inlineStr">
        <is>
          <t>Payroll</t>
        </is>
      </c>
      <c r="F17" s="38">
        <f>IFERROR(INDEX(Dim_Category[CategoryID],MATCH($E17,Dim_Category[CategoryName],0)),"")</f>
        <v/>
      </c>
      <c r="G17" s="38" t="inlineStr">
        <is>
          <t>Checking</t>
        </is>
      </c>
      <c r="H17" s="38">
        <f>IFERROR(INDEX(Dim_Account[AccountID],MATCH($G17,Dim_Account[AccountName],0)),"")</f>
        <v/>
      </c>
      <c r="I17" s="40" t="n">
        <v>5100</v>
      </c>
      <c r="J17" s="40" t="n">
        <v>1224</v>
      </c>
      <c r="K17" s="40">
        <f>$I17-$J17</f>
        <v/>
      </c>
      <c r="L17" s="38" t="inlineStr">
        <is>
          <t>Yes</t>
        </is>
      </c>
      <c r="M17" s="38" t="inlineStr">
        <is>
          <t>Semi-monthly payroll</t>
        </is>
      </c>
    </row>
    <row r="18">
      <c r="A18" s="38">
        <f>ROW()-11</f>
        <v/>
      </c>
      <c r="B18" s="39" t="n">
        <v>45931</v>
      </c>
      <c r="C18" s="38" t="inlineStr">
        <is>
          <t>Employer Payroll Inc</t>
        </is>
      </c>
      <c r="D18" s="38">
        <f>IFERROR(INDEX(Dim_Source[SourceID],MATCH($C18,Dim_Source[SourceName],0)),"")</f>
        <v/>
      </c>
      <c r="E18" s="38" t="inlineStr">
        <is>
          <t>Payroll</t>
        </is>
      </c>
      <c r="F18" s="38">
        <f>IFERROR(INDEX(Dim_Category[CategoryID],MATCH($E18,Dim_Category[CategoryName],0)),"")</f>
        <v/>
      </c>
      <c r="G18" s="38" t="inlineStr">
        <is>
          <t>Checking</t>
        </is>
      </c>
      <c r="H18" s="38">
        <f>IFERROR(INDEX(Dim_Account[AccountID],MATCH($G18,Dim_Account[AccountName],0)),"")</f>
        <v/>
      </c>
      <c r="I18" s="40" t="n">
        <v>5100</v>
      </c>
      <c r="J18" s="40" t="n">
        <v>1224</v>
      </c>
      <c r="K18" s="40">
        <f>$I18-$J18</f>
        <v/>
      </c>
      <c r="L18" s="38" t="inlineStr">
        <is>
          <t>Yes</t>
        </is>
      </c>
      <c r="M18" s="38" t="inlineStr">
        <is>
          <t>Semi-monthly payroll</t>
        </is>
      </c>
    </row>
    <row r="19">
      <c r="A19" s="38">
        <f>ROW()-11</f>
        <v/>
      </c>
      <c r="B19" s="39" t="n">
        <v>45945</v>
      </c>
      <c r="C19" s="38" t="inlineStr">
        <is>
          <t>Employer Payroll Inc</t>
        </is>
      </c>
      <c r="D19" s="38">
        <f>IFERROR(INDEX(Dim_Source[SourceID],MATCH($C19,Dim_Source[SourceName],0)),"")</f>
        <v/>
      </c>
      <c r="E19" s="38" t="inlineStr">
        <is>
          <t>Payroll</t>
        </is>
      </c>
      <c r="F19" s="38">
        <f>IFERROR(INDEX(Dim_Category[CategoryID],MATCH($E19,Dim_Category[CategoryName],0)),"")</f>
        <v/>
      </c>
      <c r="G19" s="38" t="inlineStr">
        <is>
          <t>Checking</t>
        </is>
      </c>
      <c r="H19" s="38">
        <f>IFERROR(INDEX(Dim_Account[AccountID],MATCH($G19,Dim_Account[AccountName],0)),"")</f>
        <v/>
      </c>
      <c r="I19" s="40" t="n">
        <v>5100</v>
      </c>
      <c r="J19" s="40" t="n">
        <v>1224</v>
      </c>
      <c r="K19" s="40">
        <f>$I19-$J19</f>
        <v/>
      </c>
      <c r="L19" s="38" t="inlineStr">
        <is>
          <t>Yes</t>
        </is>
      </c>
      <c r="M19" s="38" t="inlineStr">
        <is>
          <t>Semi-monthly payroll</t>
        </is>
      </c>
    </row>
    <row r="20">
      <c r="A20" s="38">
        <f>ROW()-11</f>
        <v/>
      </c>
      <c r="B20" s="39" t="n">
        <v>45962</v>
      </c>
      <c r="C20" s="38" t="inlineStr">
        <is>
          <t>Employer Payroll Inc</t>
        </is>
      </c>
      <c r="D20" s="38">
        <f>IFERROR(INDEX(Dim_Source[SourceID],MATCH($C20,Dim_Source[SourceName],0)),"")</f>
        <v/>
      </c>
      <c r="E20" s="38" t="inlineStr">
        <is>
          <t>Payroll</t>
        </is>
      </c>
      <c r="F20" s="38">
        <f>IFERROR(INDEX(Dim_Category[CategoryID],MATCH($E20,Dim_Category[CategoryName],0)),"")</f>
        <v/>
      </c>
      <c r="G20" s="38" t="inlineStr">
        <is>
          <t>Checking</t>
        </is>
      </c>
      <c r="H20" s="38">
        <f>IFERROR(INDEX(Dim_Account[AccountID],MATCH($G20,Dim_Account[AccountName],0)),"")</f>
        <v/>
      </c>
      <c r="I20" s="40" t="n">
        <v>5100</v>
      </c>
      <c r="J20" s="40" t="n">
        <v>1224</v>
      </c>
      <c r="K20" s="40">
        <f>$I20-$J20</f>
        <v/>
      </c>
      <c r="L20" s="38" t="inlineStr">
        <is>
          <t>Yes</t>
        </is>
      </c>
      <c r="M20" s="38" t="inlineStr">
        <is>
          <t>Semi-monthly payroll</t>
        </is>
      </c>
    </row>
    <row r="21">
      <c r="A21" s="38">
        <f>ROW()-11</f>
        <v/>
      </c>
      <c r="B21" s="39" t="n">
        <v>45976</v>
      </c>
      <c r="C21" s="38" t="inlineStr">
        <is>
          <t>Employer Payroll Inc</t>
        </is>
      </c>
      <c r="D21" s="38">
        <f>IFERROR(INDEX(Dim_Source[SourceID],MATCH($C21,Dim_Source[SourceName],0)),"")</f>
        <v/>
      </c>
      <c r="E21" s="38" t="inlineStr">
        <is>
          <t>Payroll</t>
        </is>
      </c>
      <c r="F21" s="38">
        <f>IFERROR(INDEX(Dim_Category[CategoryID],MATCH($E21,Dim_Category[CategoryName],0)),"")</f>
        <v/>
      </c>
      <c r="G21" s="38" t="inlineStr">
        <is>
          <t>Checking</t>
        </is>
      </c>
      <c r="H21" s="38">
        <f>IFERROR(INDEX(Dim_Account[AccountID],MATCH($G21,Dim_Account[AccountName],0)),"")</f>
        <v/>
      </c>
      <c r="I21" s="40" t="n">
        <v>5100</v>
      </c>
      <c r="J21" s="40" t="n">
        <v>1224</v>
      </c>
      <c r="K21" s="40">
        <f>$I21-$J21</f>
        <v/>
      </c>
      <c r="L21" s="38" t="inlineStr">
        <is>
          <t>Yes</t>
        </is>
      </c>
      <c r="M21" s="38" t="inlineStr">
        <is>
          <t>Semi-monthly payroll</t>
        </is>
      </c>
    </row>
    <row r="22">
      <c r="A22" s="38">
        <f>ROW()-11</f>
        <v/>
      </c>
      <c r="B22" s="39" t="n">
        <v>45992</v>
      </c>
      <c r="C22" s="38" t="inlineStr">
        <is>
          <t>Employer Payroll Inc</t>
        </is>
      </c>
      <c r="D22" s="38">
        <f>IFERROR(INDEX(Dim_Source[SourceID],MATCH($C22,Dim_Source[SourceName],0)),"")</f>
        <v/>
      </c>
      <c r="E22" s="38" t="inlineStr">
        <is>
          <t>Payroll</t>
        </is>
      </c>
      <c r="F22" s="38">
        <f>IFERROR(INDEX(Dim_Category[CategoryID],MATCH($E22,Dim_Category[CategoryName],0)),"")</f>
        <v/>
      </c>
      <c r="G22" s="38" t="inlineStr">
        <is>
          <t>Checking</t>
        </is>
      </c>
      <c r="H22" s="38">
        <f>IFERROR(INDEX(Dim_Account[AccountID],MATCH($G22,Dim_Account[AccountName],0)),"")</f>
        <v/>
      </c>
      <c r="I22" s="40" t="n">
        <v>5100</v>
      </c>
      <c r="J22" s="40" t="n">
        <v>1224</v>
      </c>
      <c r="K22" s="40">
        <f>$I22-$J22</f>
        <v/>
      </c>
      <c r="L22" s="38" t="inlineStr">
        <is>
          <t>Yes</t>
        </is>
      </c>
      <c r="M22" s="38" t="inlineStr">
        <is>
          <t>Semi-monthly payroll</t>
        </is>
      </c>
    </row>
    <row r="23">
      <c r="A23" s="38">
        <f>ROW()-11</f>
        <v/>
      </c>
      <c r="B23" s="39" t="n">
        <v>46006</v>
      </c>
      <c r="C23" s="38" t="inlineStr">
        <is>
          <t>Employer Payroll Inc</t>
        </is>
      </c>
      <c r="D23" s="38">
        <f>IFERROR(INDEX(Dim_Source[SourceID],MATCH($C23,Dim_Source[SourceName],0)),"")</f>
        <v/>
      </c>
      <c r="E23" s="38" t="inlineStr">
        <is>
          <t>Payroll</t>
        </is>
      </c>
      <c r="F23" s="38">
        <f>IFERROR(INDEX(Dim_Category[CategoryID],MATCH($E23,Dim_Category[CategoryName],0)),"")</f>
        <v/>
      </c>
      <c r="G23" s="38" t="inlineStr">
        <is>
          <t>Checking</t>
        </is>
      </c>
      <c r="H23" s="38">
        <f>IFERROR(INDEX(Dim_Account[AccountID],MATCH($G23,Dim_Account[AccountName],0)),"")</f>
        <v/>
      </c>
      <c r="I23" s="40" t="n">
        <v>5100</v>
      </c>
      <c r="J23" s="40" t="n">
        <v>1224</v>
      </c>
      <c r="K23" s="40">
        <f>$I23-$J23</f>
        <v/>
      </c>
      <c r="L23" s="38" t="inlineStr">
        <is>
          <t>Yes</t>
        </is>
      </c>
      <c r="M23" s="38" t="inlineStr">
        <is>
          <t>Semi-monthly payroll</t>
        </is>
      </c>
    </row>
    <row r="24">
      <c r="A24" s="38">
        <f>ROW()-11</f>
        <v/>
      </c>
      <c r="B24" s="39" t="n">
        <v>46023</v>
      </c>
      <c r="C24" s="38" t="inlineStr">
        <is>
          <t>Employer Payroll Inc</t>
        </is>
      </c>
      <c r="D24" s="38">
        <f>IFERROR(INDEX(Dim_Source[SourceID],MATCH($C24,Dim_Source[SourceName],0)),"")</f>
        <v/>
      </c>
      <c r="E24" s="38" t="inlineStr">
        <is>
          <t>Payroll</t>
        </is>
      </c>
      <c r="F24" s="38">
        <f>IFERROR(INDEX(Dim_Category[CategoryID],MATCH($E24,Dim_Category[CategoryName],0)),"")</f>
        <v/>
      </c>
      <c r="G24" s="38" t="inlineStr">
        <is>
          <t>Checking</t>
        </is>
      </c>
      <c r="H24" s="38">
        <f>IFERROR(INDEX(Dim_Account[AccountID],MATCH($G24,Dim_Account[AccountName],0)),"")</f>
        <v/>
      </c>
      <c r="I24" s="40" t="n">
        <v>5100</v>
      </c>
      <c r="J24" s="40" t="n">
        <v>1224</v>
      </c>
      <c r="K24" s="40">
        <f>$I24-$J24</f>
        <v/>
      </c>
      <c r="L24" s="38" t="inlineStr">
        <is>
          <t>Yes</t>
        </is>
      </c>
      <c r="M24" s="38" t="inlineStr">
        <is>
          <t>Semi-monthly payroll</t>
        </is>
      </c>
    </row>
    <row r="25">
      <c r="A25" s="38">
        <f>ROW()-11</f>
        <v/>
      </c>
      <c r="B25" s="39" t="n">
        <v>46037</v>
      </c>
      <c r="C25" s="38" t="inlineStr">
        <is>
          <t>Employer Payroll Inc</t>
        </is>
      </c>
      <c r="D25" s="38">
        <f>IFERROR(INDEX(Dim_Source[SourceID],MATCH($C25,Dim_Source[SourceName],0)),"")</f>
        <v/>
      </c>
      <c r="E25" s="38" t="inlineStr">
        <is>
          <t>Payroll</t>
        </is>
      </c>
      <c r="F25" s="38">
        <f>IFERROR(INDEX(Dim_Category[CategoryID],MATCH($E25,Dim_Category[CategoryName],0)),"")</f>
        <v/>
      </c>
      <c r="G25" s="38" t="inlineStr">
        <is>
          <t>Checking</t>
        </is>
      </c>
      <c r="H25" s="38">
        <f>IFERROR(INDEX(Dim_Account[AccountID],MATCH($G25,Dim_Account[AccountName],0)),"")</f>
        <v/>
      </c>
      <c r="I25" s="40" t="n">
        <v>5100</v>
      </c>
      <c r="J25" s="40" t="n">
        <v>1224</v>
      </c>
      <c r="K25" s="40">
        <f>$I25-$J25</f>
        <v/>
      </c>
      <c r="L25" s="38" t="inlineStr">
        <is>
          <t>Yes</t>
        </is>
      </c>
      <c r="M25" s="38" t="inlineStr">
        <is>
          <t>Semi-monthly payroll</t>
        </is>
      </c>
    </row>
    <row r="26">
      <c r="A26" s="38">
        <f>ROW()-11</f>
        <v/>
      </c>
      <c r="B26" s="39" t="n">
        <v>46054</v>
      </c>
      <c r="C26" s="38" t="inlineStr">
        <is>
          <t>Employer Payroll Inc</t>
        </is>
      </c>
      <c r="D26" s="38">
        <f>IFERROR(INDEX(Dim_Source[SourceID],MATCH($C26,Dim_Source[SourceName],0)),"")</f>
        <v/>
      </c>
      <c r="E26" s="38" t="inlineStr">
        <is>
          <t>Payroll</t>
        </is>
      </c>
      <c r="F26" s="38">
        <f>IFERROR(INDEX(Dim_Category[CategoryID],MATCH($E26,Dim_Category[CategoryName],0)),"")</f>
        <v/>
      </c>
      <c r="G26" s="38" t="inlineStr">
        <is>
          <t>Checking</t>
        </is>
      </c>
      <c r="H26" s="38">
        <f>IFERROR(INDEX(Dim_Account[AccountID],MATCH($G26,Dim_Account[AccountName],0)),"")</f>
        <v/>
      </c>
      <c r="I26" s="40" t="n">
        <v>5100</v>
      </c>
      <c r="J26" s="40" t="n">
        <v>1224</v>
      </c>
      <c r="K26" s="40">
        <f>$I26-$J26</f>
        <v/>
      </c>
      <c r="L26" s="38" t="inlineStr">
        <is>
          <t>Yes</t>
        </is>
      </c>
      <c r="M26" s="38" t="inlineStr">
        <is>
          <t>Semi-monthly payroll</t>
        </is>
      </c>
    </row>
    <row r="27">
      <c r="A27" s="38">
        <f>ROW()-11</f>
        <v/>
      </c>
      <c r="B27" s="39" t="n">
        <v>46068</v>
      </c>
      <c r="C27" s="38" t="inlineStr">
        <is>
          <t>Employer Payroll Inc</t>
        </is>
      </c>
      <c r="D27" s="38">
        <f>IFERROR(INDEX(Dim_Source[SourceID],MATCH($C27,Dim_Source[SourceName],0)),"")</f>
        <v/>
      </c>
      <c r="E27" s="38" t="inlineStr">
        <is>
          <t>Payroll</t>
        </is>
      </c>
      <c r="F27" s="38">
        <f>IFERROR(INDEX(Dim_Category[CategoryID],MATCH($E27,Dim_Category[CategoryName],0)),"")</f>
        <v/>
      </c>
      <c r="G27" s="38" t="inlineStr">
        <is>
          <t>Checking</t>
        </is>
      </c>
      <c r="H27" s="38">
        <f>IFERROR(INDEX(Dim_Account[AccountID],MATCH($G27,Dim_Account[AccountName],0)),"")</f>
        <v/>
      </c>
      <c r="I27" s="40" t="n">
        <v>5100</v>
      </c>
      <c r="J27" s="40" t="n">
        <v>1224</v>
      </c>
      <c r="K27" s="40">
        <f>$I27-$J27</f>
        <v/>
      </c>
      <c r="L27" s="38" t="inlineStr">
        <is>
          <t>Yes</t>
        </is>
      </c>
      <c r="M27" s="38" t="inlineStr">
        <is>
          <t>Semi-monthly payroll</t>
        </is>
      </c>
    </row>
    <row r="28">
      <c r="A28" s="38">
        <f>ROW()-11</f>
        <v/>
      </c>
      <c r="B28" s="39" t="n">
        <v>46082</v>
      </c>
      <c r="C28" s="38" t="inlineStr">
        <is>
          <t>Employer Payroll Inc</t>
        </is>
      </c>
      <c r="D28" s="38">
        <f>IFERROR(INDEX(Dim_Source[SourceID],MATCH($C28,Dim_Source[SourceName],0)),"")</f>
        <v/>
      </c>
      <c r="E28" s="38" t="inlineStr">
        <is>
          <t>Payroll</t>
        </is>
      </c>
      <c r="F28" s="38">
        <f>IFERROR(INDEX(Dim_Category[CategoryID],MATCH($E28,Dim_Category[CategoryName],0)),"")</f>
        <v/>
      </c>
      <c r="G28" s="38" t="inlineStr">
        <is>
          <t>Checking</t>
        </is>
      </c>
      <c r="H28" s="38">
        <f>IFERROR(INDEX(Dim_Account[AccountID],MATCH($G28,Dim_Account[AccountName],0)),"")</f>
        <v/>
      </c>
      <c r="I28" s="40" t="n">
        <v>5100</v>
      </c>
      <c r="J28" s="40" t="n">
        <v>1224</v>
      </c>
      <c r="K28" s="40">
        <f>$I28-$J28</f>
        <v/>
      </c>
      <c r="L28" s="38" t="inlineStr">
        <is>
          <t>Yes</t>
        </is>
      </c>
      <c r="M28" s="38" t="inlineStr">
        <is>
          <t>Semi-monthly payroll</t>
        </is>
      </c>
    </row>
    <row r="29">
      <c r="A29" s="38">
        <f>ROW()-11</f>
        <v/>
      </c>
      <c r="B29" s="39" t="n">
        <v>46096</v>
      </c>
      <c r="C29" s="38" t="inlineStr">
        <is>
          <t>Employer Payroll Inc</t>
        </is>
      </c>
      <c r="D29" s="38">
        <f>IFERROR(INDEX(Dim_Source[SourceID],MATCH($C29,Dim_Source[SourceName],0)),"")</f>
        <v/>
      </c>
      <c r="E29" s="38" t="inlineStr">
        <is>
          <t>Payroll</t>
        </is>
      </c>
      <c r="F29" s="38">
        <f>IFERROR(INDEX(Dim_Category[CategoryID],MATCH($E29,Dim_Category[CategoryName],0)),"")</f>
        <v/>
      </c>
      <c r="G29" s="38" t="inlineStr">
        <is>
          <t>Checking</t>
        </is>
      </c>
      <c r="H29" s="38">
        <f>IFERROR(INDEX(Dim_Account[AccountID],MATCH($G29,Dim_Account[AccountName],0)),"")</f>
        <v/>
      </c>
      <c r="I29" s="40" t="n">
        <v>5100</v>
      </c>
      <c r="J29" s="40" t="n">
        <v>1224</v>
      </c>
      <c r="K29" s="40">
        <f>$I29-$J29</f>
        <v/>
      </c>
      <c r="L29" s="38" t="inlineStr">
        <is>
          <t>Yes</t>
        </is>
      </c>
      <c r="M29" s="38" t="inlineStr">
        <is>
          <t>Semi-monthly payroll</t>
        </is>
      </c>
    </row>
    <row r="30">
      <c r="A30" s="38">
        <f>ROW()-11</f>
        <v/>
      </c>
      <c r="B30" s="39" t="n">
        <v>46113</v>
      </c>
      <c r="C30" s="38" t="inlineStr">
        <is>
          <t>Employer Payroll Inc</t>
        </is>
      </c>
      <c r="D30" s="38">
        <f>IFERROR(INDEX(Dim_Source[SourceID],MATCH($C30,Dim_Source[SourceName],0)),"")</f>
        <v/>
      </c>
      <c r="E30" s="38" t="inlineStr">
        <is>
          <t>Payroll</t>
        </is>
      </c>
      <c r="F30" s="38">
        <f>IFERROR(INDEX(Dim_Category[CategoryID],MATCH($E30,Dim_Category[CategoryName],0)),"")</f>
        <v/>
      </c>
      <c r="G30" s="38" t="inlineStr">
        <is>
          <t>Checking</t>
        </is>
      </c>
      <c r="H30" s="38">
        <f>IFERROR(INDEX(Dim_Account[AccountID],MATCH($G30,Dim_Account[AccountName],0)),"")</f>
        <v/>
      </c>
      <c r="I30" s="40" t="n">
        <v>5100</v>
      </c>
      <c r="J30" s="40" t="n">
        <v>1224</v>
      </c>
      <c r="K30" s="40">
        <f>$I30-$J30</f>
        <v/>
      </c>
      <c r="L30" s="38" t="inlineStr">
        <is>
          <t>Yes</t>
        </is>
      </c>
      <c r="M30" s="38" t="inlineStr">
        <is>
          <t>Semi-monthly payroll</t>
        </is>
      </c>
    </row>
    <row r="31">
      <c r="A31" s="38">
        <f>ROW()-11</f>
        <v/>
      </c>
      <c r="B31" s="39" t="n">
        <v>46127</v>
      </c>
      <c r="C31" s="38" t="inlineStr">
        <is>
          <t>Employer Payroll Inc</t>
        </is>
      </c>
      <c r="D31" s="38">
        <f>IFERROR(INDEX(Dim_Source[SourceID],MATCH($C31,Dim_Source[SourceName],0)),"")</f>
        <v/>
      </c>
      <c r="E31" s="38" t="inlineStr">
        <is>
          <t>Payroll</t>
        </is>
      </c>
      <c r="F31" s="38">
        <f>IFERROR(INDEX(Dim_Category[CategoryID],MATCH($E31,Dim_Category[CategoryName],0)),"")</f>
        <v/>
      </c>
      <c r="G31" s="38" t="inlineStr">
        <is>
          <t>Checking</t>
        </is>
      </c>
      <c r="H31" s="38">
        <f>IFERROR(INDEX(Dim_Account[AccountID],MATCH($G31,Dim_Account[AccountName],0)),"")</f>
        <v/>
      </c>
      <c r="I31" s="40" t="n">
        <v>5100</v>
      </c>
      <c r="J31" s="40" t="n">
        <v>1224</v>
      </c>
      <c r="K31" s="40">
        <f>$I31-$J31</f>
        <v/>
      </c>
      <c r="L31" s="38" t="inlineStr">
        <is>
          <t>Yes</t>
        </is>
      </c>
      <c r="M31" s="38" t="inlineStr">
        <is>
          <t>Semi-monthly payroll</t>
        </is>
      </c>
    </row>
    <row r="32">
      <c r="A32" s="38">
        <f>ROW()-11</f>
        <v/>
      </c>
      <c r="B32" s="39" t="n">
        <v>46143</v>
      </c>
      <c r="C32" s="38" t="inlineStr">
        <is>
          <t>Employer Payroll Inc</t>
        </is>
      </c>
      <c r="D32" s="38">
        <f>IFERROR(INDEX(Dim_Source[SourceID],MATCH($C32,Dim_Source[SourceName],0)),"")</f>
        <v/>
      </c>
      <c r="E32" s="38" t="inlineStr">
        <is>
          <t>Payroll</t>
        </is>
      </c>
      <c r="F32" s="38">
        <f>IFERROR(INDEX(Dim_Category[CategoryID],MATCH($E32,Dim_Category[CategoryName],0)),"")</f>
        <v/>
      </c>
      <c r="G32" s="38" t="inlineStr">
        <is>
          <t>Checking</t>
        </is>
      </c>
      <c r="H32" s="38">
        <f>IFERROR(INDEX(Dim_Account[AccountID],MATCH($G32,Dim_Account[AccountName],0)),"")</f>
        <v/>
      </c>
      <c r="I32" s="40" t="n">
        <v>5100</v>
      </c>
      <c r="J32" s="40" t="n">
        <v>1224</v>
      </c>
      <c r="K32" s="40">
        <f>$I32-$J32</f>
        <v/>
      </c>
      <c r="L32" s="38" t="inlineStr">
        <is>
          <t>Yes</t>
        </is>
      </c>
      <c r="M32" s="38" t="inlineStr">
        <is>
          <t>Semi-monthly payroll</t>
        </is>
      </c>
    </row>
    <row r="33">
      <c r="A33" s="38">
        <f>ROW()-11</f>
        <v/>
      </c>
      <c r="B33" s="39" t="n">
        <v>46157</v>
      </c>
      <c r="C33" s="38" t="inlineStr">
        <is>
          <t>Employer Payroll Inc</t>
        </is>
      </c>
      <c r="D33" s="38">
        <f>IFERROR(INDEX(Dim_Source[SourceID],MATCH($C33,Dim_Source[SourceName],0)),"")</f>
        <v/>
      </c>
      <c r="E33" s="38" t="inlineStr">
        <is>
          <t>Payroll</t>
        </is>
      </c>
      <c r="F33" s="38">
        <f>IFERROR(INDEX(Dim_Category[CategoryID],MATCH($E33,Dim_Category[CategoryName],0)),"")</f>
        <v/>
      </c>
      <c r="G33" s="38" t="inlineStr">
        <is>
          <t>Checking</t>
        </is>
      </c>
      <c r="H33" s="38">
        <f>IFERROR(INDEX(Dim_Account[AccountID],MATCH($G33,Dim_Account[AccountName],0)),"")</f>
        <v/>
      </c>
      <c r="I33" s="40" t="n">
        <v>5100</v>
      </c>
      <c r="J33" s="40" t="n">
        <v>1224</v>
      </c>
      <c r="K33" s="40">
        <f>$I33-$J33</f>
        <v/>
      </c>
      <c r="L33" s="38" t="inlineStr">
        <is>
          <t>Yes</t>
        </is>
      </c>
      <c r="M33" s="38" t="inlineStr">
        <is>
          <t>Semi-monthly payroll</t>
        </is>
      </c>
    </row>
    <row r="34">
      <c r="A34" s="38">
        <f>ROW()-11</f>
        <v/>
      </c>
      <c r="B34" s="39" t="n">
        <v>46174</v>
      </c>
      <c r="C34" s="38" t="inlineStr">
        <is>
          <t>Employer Payroll Inc</t>
        </is>
      </c>
      <c r="D34" s="38">
        <f>IFERROR(INDEX(Dim_Source[SourceID],MATCH($C34,Dim_Source[SourceName],0)),"")</f>
        <v/>
      </c>
      <c r="E34" s="38" t="inlineStr">
        <is>
          <t>Payroll</t>
        </is>
      </c>
      <c r="F34" s="38">
        <f>IFERROR(INDEX(Dim_Category[CategoryID],MATCH($E34,Dim_Category[CategoryName],0)),"")</f>
        <v/>
      </c>
      <c r="G34" s="38" t="inlineStr">
        <is>
          <t>Checking</t>
        </is>
      </c>
      <c r="H34" s="38">
        <f>IFERROR(INDEX(Dim_Account[AccountID],MATCH($G34,Dim_Account[AccountName],0)),"")</f>
        <v/>
      </c>
      <c r="I34" s="40" t="n">
        <v>5100</v>
      </c>
      <c r="J34" s="40" t="n">
        <v>1224</v>
      </c>
      <c r="K34" s="40">
        <f>$I34-$J34</f>
        <v/>
      </c>
      <c r="L34" s="38" t="inlineStr">
        <is>
          <t>Yes</t>
        </is>
      </c>
      <c r="M34" s="38" t="inlineStr">
        <is>
          <t>Semi-monthly payroll</t>
        </is>
      </c>
    </row>
    <row r="35">
      <c r="A35" s="38">
        <f>ROW()-11</f>
        <v/>
      </c>
      <c r="B35" s="39" t="n">
        <v>46188</v>
      </c>
      <c r="C35" s="38" t="inlineStr">
        <is>
          <t>Employer Payroll Inc</t>
        </is>
      </c>
      <c r="D35" s="38">
        <f>IFERROR(INDEX(Dim_Source[SourceID],MATCH($C35,Dim_Source[SourceName],0)),"")</f>
        <v/>
      </c>
      <c r="E35" s="38" t="inlineStr">
        <is>
          <t>Payroll</t>
        </is>
      </c>
      <c r="F35" s="38">
        <f>IFERROR(INDEX(Dim_Category[CategoryID],MATCH($E35,Dim_Category[CategoryName],0)),"")</f>
        <v/>
      </c>
      <c r="G35" s="38" t="inlineStr">
        <is>
          <t>Checking</t>
        </is>
      </c>
      <c r="H35" s="38">
        <f>IFERROR(INDEX(Dim_Account[AccountID],MATCH($G35,Dim_Account[AccountName],0)),"")</f>
        <v/>
      </c>
      <c r="I35" s="40" t="n">
        <v>5100</v>
      </c>
      <c r="J35" s="40" t="n">
        <v>1224</v>
      </c>
      <c r="K35" s="40">
        <f>$I35-$J35</f>
        <v/>
      </c>
      <c r="L35" s="38" t="inlineStr">
        <is>
          <t>Yes</t>
        </is>
      </c>
      <c r="M35" s="38" t="inlineStr">
        <is>
          <t>Semi-monthly payroll</t>
        </is>
      </c>
    </row>
    <row r="36">
      <c r="A36" s="38">
        <f>ROW()-11</f>
        <v/>
      </c>
      <c r="B36" s="39" t="n">
        <v>46204</v>
      </c>
      <c r="C36" s="38" t="inlineStr">
        <is>
          <t>Employer Payroll Inc</t>
        </is>
      </c>
      <c r="D36" s="38">
        <f>IFERROR(INDEX(Dim_Source[SourceID],MATCH($C36,Dim_Source[SourceName],0)),"")</f>
        <v/>
      </c>
      <c r="E36" s="38" t="inlineStr">
        <is>
          <t>Payroll</t>
        </is>
      </c>
      <c r="F36" s="38">
        <f>IFERROR(INDEX(Dim_Category[CategoryID],MATCH($E36,Dim_Category[CategoryName],0)),"")</f>
        <v/>
      </c>
      <c r="G36" s="38" t="inlineStr">
        <is>
          <t>Checking</t>
        </is>
      </c>
      <c r="H36" s="38">
        <f>IFERROR(INDEX(Dim_Account[AccountID],MATCH($G36,Dim_Account[AccountName],0)),"")</f>
        <v/>
      </c>
      <c r="I36" s="40" t="n">
        <v>5100</v>
      </c>
      <c r="J36" s="40" t="n">
        <v>1224</v>
      </c>
      <c r="K36" s="40">
        <f>$I36-$J36</f>
        <v/>
      </c>
      <c r="L36" s="38" t="inlineStr">
        <is>
          <t>Yes</t>
        </is>
      </c>
      <c r="M36" s="38" t="inlineStr">
        <is>
          <t>Semi-monthly payroll</t>
        </is>
      </c>
    </row>
    <row r="37">
      <c r="A37" s="38">
        <f>ROW()-11</f>
        <v/>
      </c>
      <c r="B37" s="39" t="n">
        <v>46218</v>
      </c>
      <c r="C37" s="38" t="inlineStr">
        <is>
          <t>Employer Payroll Inc</t>
        </is>
      </c>
      <c r="D37" s="38">
        <f>IFERROR(INDEX(Dim_Source[SourceID],MATCH($C37,Dim_Source[SourceName],0)),"")</f>
        <v/>
      </c>
      <c r="E37" s="38" t="inlineStr">
        <is>
          <t>Payroll</t>
        </is>
      </c>
      <c r="F37" s="38">
        <f>IFERROR(INDEX(Dim_Category[CategoryID],MATCH($E37,Dim_Category[CategoryName],0)),"")</f>
        <v/>
      </c>
      <c r="G37" s="38" t="inlineStr">
        <is>
          <t>Checking</t>
        </is>
      </c>
      <c r="H37" s="38">
        <f>IFERROR(INDEX(Dim_Account[AccountID],MATCH($G37,Dim_Account[AccountName],0)),"")</f>
        <v/>
      </c>
      <c r="I37" s="40" t="n">
        <v>5100</v>
      </c>
      <c r="J37" s="40" t="n">
        <v>1224</v>
      </c>
      <c r="K37" s="40">
        <f>$I37-$J37</f>
        <v/>
      </c>
      <c r="L37" s="38" t="inlineStr">
        <is>
          <t>Yes</t>
        </is>
      </c>
      <c r="M37" s="38" t="inlineStr">
        <is>
          <t>Semi-monthly payroll</t>
        </is>
      </c>
    </row>
  </sheetData>
  <mergeCells count="3">
    <mergeCell ref="A4:B4"/>
    <mergeCell ref="A1:J2"/>
    <mergeCell ref="A10:M10"/>
  </mergeCells>
  <dataValidations count="4">
    <dataValidation sqref="C12:C337" showDropDown="0" showInputMessage="0" showErrorMessage="1" allowBlank="1" errorTitle="Invalid Entry" error="Please choose a value from the dropdown list." type="list">
      <formula1>=SourceNameList</formula1>
    </dataValidation>
    <dataValidation sqref="E12:E337" showDropDown="0" showInputMessage="0" showErrorMessage="1" allowBlank="1" errorTitle="Invalid Entry" error="Please choose a value from the dropdown list." type="list">
      <formula1>=ExpenseCategoryList</formula1>
    </dataValidation>
    <dataValidation sqref="G12:G337" showDropDown="0" showInputMessage="0" showErrorMessage="1" allowBlank="1" errorTitle="Invalid Entry" error="Please choose a value from the dropdown list." type="list">
      <formula1>=AccountNameList</formula1>
    </dataValidation>
    <dataValidation sqref="L12:L337" showDropDown="0" showInputMessage="0" showErrorMessage="1" allowBlank="1" errorTitle="Invalid Entry" error="Please choose a value from the dropdown list." type="list">
      <formula1>=List_YesNo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19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hidden="1" width="13" customWidth="1" min="15" max="15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CurMonthAmt</t>
        </is>
      </c>
    </row>
    <row r="6">
      <c r="A6" s="38">
        <f>ROW()-5</f>
        <v/>
      </c>
      <c r="B6" s="39" t="n">
        <v>45872</v>
      </c>
      <c r="C6" s="38" t="inlineStr">
        <is>
          <t>Mortgage Lender</t>
        </is>
      </c>
      <c r="D6" s="38">
        <f>IFERROR(INDEX(Dim_Vendor[VendorID],MATCH($C6,Dim_Vendor[VendorName],0)),"")</f>
        <v/>
      </c>
      <c r="E6" s="38" t="inlineStr">
        <is>
          <t>Mortgage</t>
        </is>
      </c>
      <c r="F6" s="38">
        <f>IFERROR(INDEX(Dim_Category[CategoryID],MATCH($E6,Dim_Category[CategoryName],0)),"")</f>
        <v/>
      </c>
      <c r="G6" s="38" t="inlineStr">
        <is>
          <t>Checking</t>
        </is>
      </c>
      <c r="H6" s="38">
        <f>IFERROR(INDEX(Dim_Account[AccountID],MATCH($G6,Dim_Account[AccountName],0)),"")</f>
        <v/>
      </c>
      <c r="I6" s="38" t="inlineStr">
        <is>
          <t>ACH</t>
        </is>
      </c>
      <c r="J6" s="38">
        <f>IFERROR(INDEX(Dim_PaymentMethod[PaymentMethodID],MATCH($I6,Dim_PaymentMethod[MethodName],0)),"")</f>
        <v/>
      </c>
      <c r="K6" s="40" t="n">
        <v>2197.96</v>
      </c>
      <c r="L6" s="38" t="inlineStr">
        <is>
          <t>Need</t>
        </is>
      </c>
      <c r="M6" s="38" t="inlineStr">
        <is>
          <t>Yes</t>
        </is>
      </c>
      <c r="N6" s="38" t="inlineStr">
        <is>
          <t>Monthly mortgage payment</t>
        </is>
      </c>
      <c r="O6" s="40">
        <f>IF(AND($B6&gt;=CurMonthStart,$B6&lt;=CurMonthEnd),$K6,0)</f>
        <v/>
      </c>
    </row>
    <row r="7">
      <c r="A7" s="38">
        <f>ROW()-5</f>
        <v/>
      </c>
      <c r="B7" s="39" t="n">
        <v>45875</v>
      </c>
      <c r="C7" s="38" t="inlineStr">
        <is>
          <t>Whole Foods</t>
        </is>
      </c>
      <c r="D7" s="38">
        <f>IFERROR(INDEX(Dim_Vendor[VendorID],MATCH($C7,Dim_Vendor[VendorName],0)),"")</f>
        <v/>
      </c>
      <c r="E7" s="38" t="inlineStr">
        <is>
          <t>Groceries</t>
        </is>
      </c>
      <c r="F7" s="38">
        <f>IFERROR(INDEX(Dim_Category[CategoryID],MATCH($E7,Dim_Category[CategoryName],0)),"")</f>
        <v/>
      </c>
      <c r="G7" s="38" t="inlineStr">
        <is>
          <t>Credit Card</t>
        </is>
      </c>
      <c r="H7" s="38">
        <f>IFERROR(INDEX(Dim_Account[AccountID],MATCH($G7,Dim_Account[AccountName],0)),"")</f>
        <v/>
      </c>
      <c r="I7" s="38" t="inlineStr">
        <is>
          <t>Credit Card</t>
        </is>
      </c>
      <c r="J7" s="38">
        <f>IFERROR(INDEX(Dim_PaymentMethod[PaymentMethodID],MATCH($I7,Dim_PaymentMethod[MethodName],0)),"")</f>
        <v/>
      </c>
      <c r="K7" s="40" t="n">
        <v>172.25</v>
      </c>
      <c r="L7" s="38" t="inlineStr">
        <is>
          <t>Need</t>
        </is>
      </c>
      <c r="M7" s="38" t="inlineStr">
        <is>
          <t>No</t>
        </is>
      </c>
      <c r="N7" s="38" t="inlineStr"/>
      <c r="O7" s="40">
        <f>IF(AND($B7&gt;=CurMonthStart,$B7&lt;=CurMonthEnd),$K7,0)</f>
        <v/>
      </c>
    </row>
    <row r="8">
      <c r="A8" s="38">
        <f>ROW()-5</f>
        <v/>
      </c>
      <c r="B8" s="39" t="n">
        <v>45878</v>
      </c>
      <c r="C8" s="38" t="inlineStr">
        <is>
          <t>Costco</t>
        </is>
      </c>
      <c r="D8" s="38">
        <f>IFERROR(INDEX(Dim_Vendor[VendorID],MATCH($C8,Dim_Vendor[VendorName],0)),"")</f>
        <v/>
      </c>
      <c r="E8" s="38" t="inlineStr">
        <is>
          <t>Groceries</t>
        </is>
      </c>
      <c r="F8" s="38">
        <f>IFERROR(INDEX(Dim_Category[CategoryID],MATCH($E8,Dim_Category[CategoryName],0)),"")</f>
        <v/>
      </c>
      <c r="G8" s="38" t="inlineStr">
        <is>
          <t>Credit Card</t>
        </is>
      </c>
      <c r="H8" s="38">
        <f>IFERROR(INDEX(Dim_Account[AccountID],MATCH($G8,Dim_Account[AccountName],0)),"")</f>
        <v/>
      </c>
      <c r="I8" s="38" t="inlineStr">
        <is>
          <t>Credit Card</t>
        </is>
      </c>
      <c r="J8" s="38">
        <f>IFERROR(INDEX(Dim_PaymentMethod[PaymentMethodID],MATCH($I8,Dim_PaymentMethod[MethodName],0)),"")</f>
        <v/>
      </c>
      <c r="K8" s="40" t="n">
        <v>236.28</v>
      </c>
      <c r="L8" s="38" t="inlineStr">
        <is>
          <t>Need</t>
        </is>
      </c>
      <c r="M8" s="38" t="inlineStr">
        <is>
          <t>No</t>
        </is>
      </c>
      <c r="N8" s="38" t="inlineStr">
        <is>
          <t>Bulk groceries</t>
        </is>
      </c>
      <c r="O8" s="40">
        <f>IF(AND($B8&gt;=CurMonthStart,$B8&lt;=CurMonthEnd),$K8,0)</f>
        <v/>
      </c>
    </row>
    <row r="9">
      <c r="A9" s="38">
        <f>ROW()-5</f>
        <v/>
      </c>
      <c r="B9" s="39" t="n">
        <v>45881</v>
      </c>
      <c r="C9" s="38" t="inlineStr">
        <is>
          <t>Shell Gas Station</t>
        </is>
      </c>
      <c r="D9" s="38">
        <f>IFERROR(INDEX(Dim_Vendor[VendorID],MATCH($C9,Dim_Vendor[VendorName],0)),"")</f>
        <v/>
      </c>
      <c r="E9" s="38" t="inlineStr">
        <is>
          <t>Car</t>
        </is>
      </c>
      <c r="F9" s="38">
        <f>IFERROR(INDEX(Dim_Category[CategoryID],MATCH($E9,Dim_Category[CategoryName],0)),"")</f>
        <v/>
      </c>
      <c r="G9" s="38" t="inlineStr">
        <is>
          <t>Credit Card</t>
        </is>
      </c>
      <c r="H9" s="38">
        <f>IFERROR(INDEX(Dim_Account[AccountID],MATCH($G9,Dim_Account[AccountName],0)),"")</f>
        <v/>
      </c>
      <c r="I9" s="38" t="inlineStr">
        <is>
          <t>Credit Card</t>
        </is>
      </c>
      <c r="J9" s="38">
        <f>IFERROR(INDEX(Dim_PaymentMethod[PaymentMethodID],MATCH($I9,Dim_PaymentMethod[MethodName],0)),"")</f>
        <v/>
      </c>
      <c r="K9" s="40" t="n">
        <v>49.98</v>
      </c>
      <c r="L9" s="38" t="inlineStr">
        <is>
          <t>Need</t>
        </is>
      </c>
      <c r="M9" s="38" t="inlineStr">
        <is>
          <t>No</t>
        </is>
      </c>
      <c r="N9" s="38" t="inlineStr">
        <is>
          <t>Gas</t>
        </is>
      </c>
      <c r="O9" s="40">
        <f>IF(AND($B9&gt;=CurMonthStart,$B9&lt;=CurMonthEnd),$K9,0)</f>
        <v/>
      </c>
    </row>
    <row r="10">
      <c r="A10" s="38">
        <f>ROW()-5</f>
        <v/>
      </c>
      <c r="B10" s="39" t="n">
        <v>45884</v>
      </c>
      <c r="C10" s="38" t="inlineStr">
        <is>
          <t>AutoZone</t>
        </is>
      </c>
      <c r="D10" s="38">
        <f>IFERROR(INDEX(Dim_Vendor[VendorID],MATCH($C10,Dim_Vendor[VendorName],0)),"")</f>
        <v/>
      </c>
      <c r="E10" s="38" t="inlineStr">
        <is>
          <t>Car</t>
        </is>
      </c>
      <c r="F10" s="38">
        <f>IFERROR(INDEX(Dim_Category[CategoryID],MATCH($E10,Dim_Category[CategoryName],0)),"")</f>
        <v/>
      </c>
      <c r="G10" s="38" t="inlineStr">
        <is>
          <t>Credit Card</t>
        </is>
      </c>
      <c r="H10" s="38">
        <f>IFERROR(INDEX(Dim_Account[AccountID],MATCH($G10,Dim_Account[AccountName],0)),"")</f>
        <v/>
      </c>
      <c r="I10" s="38" t="inlineStr">
        <is>
          <t>Credit Card</t>
        </is>
      </c>
      <c r="J10" s="38">
        <f>IFERROR(INDEX(Dim_PaymentMethod[PaymentMethodID],MATCH($I10,Dim_PaymentMethod[MethodName],0)),"")</f>
        <v/>
      </c>
      <c r="K10" s="40" t="n">
        <v>40.22</v>
      </c>
      <c r="L10" s="38" t="inlineStr">
        <is>
          <t>Need</t>
        </is>
      </c>
      <c r="M10" s="38" t="inlineStr">
        <is>
          <t>No</t>
        </is>
      </c>
      <c r="N10" s="38" t="inlineStr">
        <is>
          <t>Wiper blades / oil</t>
        </is>
      </c>
      <c r="O10" s="40">
        <f>IF(AND($B10&gt;=CurMonthStart,$B10&lt;=CurMonthEnd),$K10,0)</f>
        <v/>
      </c>
    </row>
    <row r="11">
      <c r="A11" s="38">
        <f>ROW()-5</f>
        <v/>
      </c>
      <c r="B11" s="39" t="n">
        <v>45887</v>
      </c>
      <c r="C11" s="38" t="inlineStr">
        <is>
          <t>City Electric Co</t>
        </is>
      </c>
      <c r="D11" s="38">
        <f>IFERROR(INDEX(Dim_Vendor[VendorID],MATCH($C11,Dim_Vendor[VendorName],0)),"")</f>
        <v/>
      </c>
      <c r="E11" s="38" t="inlineStr">
        <is>
          <t>Utilities</t>
        </is>
      </c>
      <c r="F11" s="38">
        <f>IFERROR(INDEX(Dim_Category[CategoryID],MATCH($E11,Dim_Category[CategoryName],0)),"")</f>
        <v/>
      </c>
      <c r="G11" s="38" t="inlineStr">
        <is>
          <t>Checking</t>
        </is>
      </c>
      <c r="H11" s="38">
        <f>IFERROR(INDEX(Dim_Account[AccountID],MATCH($G11,Dim_Account[AccountName],0)),"")</f>
        <v/>
      </c>
      <c r="I11" s="38" t="inlineStr">
        <is>
          <t>ACH</t>
        </is>
      </c>
      <c r="J11" s="38">
        <f>IFERROR(INDEX(Dim_PaymentMethod[PaymentMethodID],MATCH($I11,Dim_PaymentMethod[MethodName],0)),"")</f>
        <v/>
      </c>
      <c r="K11" s="40" t="n">
        <v>132.24</v>
      </c>
      <c r="L11" s="38" t="inlineStr">
        <is>
          <t>Need</t>
        </is>
      </c>
      <c r="M11" s="38" t="inlineStr">
        <is>
          <t>Yes</t>
        </is>
      </c>
      <c r="N11" s="38" t="inlineStr"/>
      <c r="O11" s="40">
        <f>IF(AND($B11&gt;=CurMonthStart,$B11&lt;=CurMonthEnd),$K11,0)</f>
        <v/>
      </c>
    </row>
    <row r="12">
      <c r="A12" s="38">
        <f>ROW()-5</f>
        <v/>
      </c>
      <c r="B12" s="39" t="n">
        <v>45890</v>
      </c>
      <c r="C12" s="38" t="inlineStr">
        <is>
          <t>Comcast Xfinity</t>
        </is>
      </c>
      <c r="D12" s="38">
        <f>IFERROR(INDEX(Dim_Vendor[VendorID],MATCH($C12,Dim_Vendor[VendorName],0)),"")</f>
        <v/>
      </c>
      <c r="E12" s="38" t="inlineStr">
        <is>
          <t>Utilities</t>
        </is>
      </c>
      <c r="F12" s="38">
        <f>IFERROR(INDEX(Dim_Category[CategoryID],MATCH($E12,Dim_Category[CategoryName],0)),"")</f>
        <v/>
      </c>
      <c r="G12" s="38" t="inlineStr">
        <is>
          <t>Checking</t>
        </is>
      </c>
      <c r="H12" s="38">
        <f>IFERROR(INDEX(Dim_Account[AccountID],MATCH($G12,Dim_Account[AccountName],0)),"")</f>
        <v/>
      </c>
      <c r="I12" s="38" t="inlineStr">
        <is>
          <t>ACH</t>
        </is>
      </c>
      <c r="J12" s="38">
        <f>IFERROR(INDEX(Dim_PaymentMethod[PaymentMethodID],MATCH($I12,Dim_PaymentMethod[MethodName],0)),"")</f>
        <v/>
      </c>
      <c r="K12" s="40" t="n">
        <v>85.01000000000001</v>
      </c>
      <c r="L12" s="38" t="inlineStr">
        <is>
          <t>Need</t>
        </is>
      </c>
      <c r="M12" s="38" t="inlineStr">
        <is>
          <t>Yes</t>
        </is>
      </c>
      <c r="N12" s="38" t="inlineStr">
        <is>
          <t>Internet</t>
        </is>
      </c>
      <c r="O12" s="40">
        <f>IF(AND($B12&gt;=CurMonthStart,$B12&lt;=CurMonthEnd),$K12,0)</f>
        <v/>
      </c>
    </row>
    <row r="13">
      <c r="A13" s="38">
        <f>ROW()-5</f>
        <v/>
      </c>
      <c r="B13" s="39" t="n">
        <v>45893</v>
      </c>
      <c r="C13" s="38" t="inlineStr">
        <is>
          <t>Verizon Wireless</t>
        </is>
      </c>
      <c r="D13" s="38">
        <f>IFERROR(INDEX(Dim_Vendor[VendorID],MATCH($C13,Dim_Vendor[VendorName],0)),"")</f>
        <v/>
      </c>
      <c r="E13" s="38" t="inlineStr">
        <is>
          <t>Utilities</t>
        </is>
      </c>
      <c r="F13" s="38">
        <f>IFERROR(INDEX(Dim_Category[CategoryID],MATCH($E13,Dim_Category[CategoryName],0)),"")</f>
        <v/>
      </c>
      <c r="G13" s="38" t="inlineStr">
        <is>
          <t>Checking</t>
        </is>
      </c>
      <c r="H13" s="38">
        <f>IFERROR(INDEX(Dim_Account[AccountID],MATCH($G13,Dim_Account[AccountName],0)),"")</f>
        <v/>
      </c>
      <c r="I13" s="38" t="inlineStr">
        <is>
          <t>ACH</t>
        </is>
      </c>
      <c r="J13" s="38">
        <f>IFERROR(INDEX(Dim_PaymentMethod[PaymentMethodID],MATCH($I13,Dim_PaymentMethod[MethodName],0)),"")</f>
        <v/>
      </c>
      <c r="K13" s="40" t="n">
        <v>88.72</v>
      </c>
      <c r="L13" s="38" t="inlineStr">
        <is>
          <t>Need</t>
        </is>
      </c>
      <c r="M13" s="38" t="inlineStr">
        <is>
          <t>Yes</t>
        </is>
      </c>
      <c r="N13" s="38" t="inlineStr">
        <is>
          <t>Mobile phone</t>
        </is>
      </c>
      <c r="O13" s="40">
        <f>IF(AND($B13&gt;=CurMonthStart,$B13&lt;=CurMonthEnd),$K13,0)</f>
        <v/>
      </c>
    </row>
    <row r="14">
      <c r="A14" s="38">
        <f>ROW()-5</f>
        <v/>
      </c>
      <c r="B14" s="39" t="n">
        <v>45896</v>
      </c>
      <c r="C14" s="38" t="inlineStr">
        <is>
          <t>State Farm Insurance</t>
        </is>
      </c>
      <c r="D14" s="38">
        <f>IFERROR(INDEX(Dim_Vendor[VendorID],MATCH($C14,Dim_Vendor[VendorName],0)),"")</f>
        <v/>
      </c>
      <c r="E14" s="38" t="inlineStr">
        <is>
          <t>Insurance</t>
        </is>
      </c>
      <c r="F14" s="38">
        <f>IFERROR(INDEX(Dim_Category[CategoryID],MATCH($E14,Dim_Category[CategoryName],0)),"")</f>
        <v/>
      </c>
      <c r="G14" s="38" t="inlineStr">
        <is>
          <t>Checking</t>
        </is>
      </c>
      <c r="H14" s="38">
        <f>IFERROR(INDEX(Dim_Account[AccountID],MATCH($G14,Dim_Account[AccountName],0)),"")</f>
        <v/>
      </c>
      <c r="I14" s="38" t="inlineStr">
        <is>
          <t>ACH</t>
        </is>
      </c>
      <c r="J14" s="38">
        <f>IFERROR(INDEX(Dim_PaymentMethod[PaymentMethodID],MATCH($I14,Dim_PaymentMethod[MethodName],0)),"")</f>
        <v/>
      </c>
      <c r="K14" s="40" t="n">
        <v>140.23</v>
      </c>
      <c r="L14" s="38" t="inlineStr">
        <is>
          <t>Need</t>
        </is>
      </c>
      <c r="M14" s="38" t="inlineStr">
        <is>
          <t>Yes</t>
        </is>
      </c>
      <c r="N14" s="38" t="inlineStr">
        <is>
          <t>Auto + home insurance</t>
        </is>
      </c>
      <c r="O14" s="40">
        <f>IF(AND($B14&gt;=CurMonthStart,$B14&lt;=CurMonthEnd),$K14,0)</f>
        <v/>
      </c>
    </row>
    <row r="15">
      <c r="A15" s="38">
        <f>ROW()-5</f>
        <v/>
      </c>
      <c r="B15" s="39" t="n">
        <v>45872</v>
      </c>
      <c r="C15" s="38" t="inlineStr">
        <is>
          <t>Kaiser Permanente</t>
        </is>
      </c>
      <c r="D15" s="38">
        <f>IFERROR(INDEX(Dim_Vendor[VendorID],MATCH($C15,Dim_Vendor[VendorName],0)),"")</f>
        <v/>
      </c>
      <c r="E15" s="38" t="inlineStr">
        <is>
          <t>Healthcare</t>
        </is>
      </c>
      <c r="F15" s="38">
        <f>IFERROR(INDEX(Dim_Category[CategoryID],MATCH($E15,Dim_Category[CategoryName],0)),"")</f>
        <v/>
      </c>
      <c r="G15" s="38" t="inlineStr">
        <is>
          <t>Credit Card</t>
        </is>
      </c>
      <c r="H15" s="38">
        <f>IFERROR(INDEX(Dim_Account[AccountID],MATCH($G15,Dim_Account[AccountName],0)),"")</f>
        <v/>
      </c>
      <c r="I15" s="38" t="inlineStr">
        <is>
          <t>Credit Card</t>
        </is>
      </c>
      <c r="J15" s="38">
        <f>IFERROR(INDEX(Dim_PaymentMethod[PaymentMethodID],MATCH($I15,Dim_PaymentMethod[MethodName],0)),"")</f>
        <v/>
      </c>
      <c r="K15" s="40" t="n">
        <v>41.61</v>
      </c>
      <c r="L15" s="38" t="inlineStr">
        <is>
          <t>Need</t>
        </is>
      </c>
      <c r="M15" s="38" t="inlineStr">
        <is>
          <t>No</t>
        </is>
      </c>
      <c r="N15" s="38" t="inlineStr">
        <is>
          <t>Copay</t>
        </is>
      </c>
      <c r="O15" s="40">
        <f>IF(AND($B15&gt;=CurMonthStart,$B15&lt;=CurMonthEnd),$K15,0)</f>
        <v/>
      </c>
    </row>
    <row r="16">
      <c r="A16" s="38">
        <f>ROW()-5</f>
        <v/>
      </c>
      <c r="B16" s="39" t="n">
        <v>45875</v>
      </c>
      <c r="C16" s="38" t="inlineStr">
        <is>
          <t>Chipotle</t>
        </is>
      </c>
      <c r="D16" s="38">
        <f>IFERROR(INDEX(Dim_Vendor[VendorID],MATCH($C16,Dim_Vendor[VendorName],0)),"")</f>
        <v/>
      </c>
      <c r="E16" s="38" t="inlineStr">
        <is>
          <t>Dining &amp; Entertainment</t>
        </is>
      </c>
      <c r="F16" s="38">
        <f>IFERROR(INDEX(Dim_Category[CategoryID],MATCH($E16,Dim_Category[CategoryName],0)),"")</f>
        <v/>
      </c>
      <c r="G16" s="38" t="inlineStr">
        <is>
          <t>Credit Card</t>
        </is>
      </c>
      <c r="H16" s="38">
        <f>IFERROR(INDEX(Dim_Account[AccountID],MATCH($G16,Dim_Account[AccountName],0)),"")</f>
        <v/>
      </c>
      <c r="I16" s="38" t="inlineStr">
        <is>
          <t>Credit Card</t>
        </is>
      </c>
      <c r="J16" s="38">
        <f>IFERROR(INDEX(Dim_PaymentMethod[PaymentMethodID],MATCH($I16,Dim_PaymentMethod[MethodName],0)),"")</f>
        <v/>
      </c>
      <c r="K16" s="40" t="n">
        <v>14.25</v>
      </c>
      <c r="L16" s="38" t="inlineStr">
        <is>
          <t>Want</t>
        </is>
      </c>
      <c r="M16" s="38" t="inlineStr">
        <is>
          <t>No</t>
        </is>
      </c>
      <c r="N16" s="38" t="inlineStr"/>
      <c r="O16" s="40">
        <f>IF(AND($B16&gt;=CurMonthStart,$B16&lt;=CurMonthEnd),$K16,0)</f>
        <v/>
      </c>
    </row>
    <row r="17">
      <c r="A17" s="38">
        <f>ROW()-5</f>
        <v/>
      </c>
      <c r="B17" s="39" t="n">
        <v>45878</v>
      </c>
      <c r="C17" s="38" t="inlineStr">
        <is>
          <t>Netflix</t>
        </is>
      </c>
      <c r="D17" s="38">
        <f>IFERROR(INDEX(Dim_Vendor[VendorID],MATCH($C17,Dim_Vendor[VendorName],0)),"")</f>
        <v/>
      </c>
      <c r="E17" s="38" t="inlineStr">
        <is>
          <t>Dining &amp; Entertainment</t>
        </is>
      </c>
      <c r="F17" s="38">
        <f>IFERROR(INDEX(Dim_Category[CategoryID],MATCH($E17,Dim_Category[CategoryName],0)),"")</f>
        <v/>
      </c>
      <c r="G17" s="38" t="inlineStr">
        <is>
          <t>Credit Card</t>
        </is>
      </c>
      <c r="H17" s="38">
        <f>IFERROR(INDEX(Dim_Account[AccountID],MATCH($G17,Dim_Account[AccountName],0)),"")</f>
        <v/>
      </c>
      <c r="I17" s="38" t="inlineStr">
        <is>
          <t>Credit Card</t>
        </is>
      </c>
      <c r="J17" s="38">
        <f>IFERROR(INDEX(Dim_PaymentMethod[PaymentMethodID],MATCH($I17,Dim_PaymentMethod[MethodName],0)),"")</f>
        <v/>
      </c>
      <c r="K17" s="40" t="n">
        <v>15.49</v>
      </c>
      <c r="L17" s="38" t="inlineStr">
        <is>
          <t>Want</t>
        </is>
      </c>
      <c r="M17" s="38" t="inlineStr">
        <is>
          <t>Yes</t>
        </is>
      </c>
      <c r="N17" s="38" t="inlineStr">
        <is>
          <t>Streaming subscription</t>
        </is>
      </c>
      <c r="O17" s="40">
        <f>IF(AND($B17&gt;=CurMonthStart,$B17&lt;=CurMonthEnd),$K17,0)</f>
        <v/>
      </c>
    </row>
    <row r="18">
      <c r="A18" s="38">
        <f>ROW()-5</f>
        <v/>
      </c>
      <c r="B18" s="39" t="n">
        <v>45881</v>
      </c>
      <c r="C18" s="38" t="inlineStr">
        <is>
          <t>AMC Theatres</t>
        </is>
      </c>
      <c r="D18" s="38">
        <f>IFERROR(INDEX(Dim_Vendor[VendorID],MATCH($C18,Dim_Vendor[VendorName],0)),"")</f>
        <v/>
      </c>
      <c r="E18" s="38" t="inlineStr">
        <is>
          <t>Dining &amp; Entertainment</t>
        </is>
      </c>
      <c r="F18" s="38">
        <f>IFERROR(INDEX(Dim_Category[CategoryID],MATCH($E18,Dim_Category[CategoryName],0)),"")</f>
        <v/>
      </c>
      <c r="G18" s="38" t="inlineStr">
        <is>
          <t>Credit Card</t>
        </is>
      </c>
      <c r="H18" s="38">
        <f>IFERROR(INDEX(Dim_Account[AccountID],MATCH($G18,Dim_Account[AccountName],0)),"")</f>
        <v/>
      </c>
      <c r="I18" s="38" t="inlineStr">
        <is>
          <t>Credit Card</t>
        </is>
      </c>
      <c r="J18" s="38">
        <f>IFERROR(INDEX(Dim_PaymentMethod[PaymentMethodID],MATCH($I18,Dim_PaymentMethod[MethodName],0)),"")</f>
        <v/>
      </c>
      <c r="K18" s="40" t="n">
        <v>30.56</v>
      </c>
      <c r="L18" s="38" t="inlineStr">
        <is>
          <t>Want</t>
        </is>
      </c>
      <c r="M18" s="38" t="inlineStr">
        <is>
          <t>No</t>
        </is>
      </c>
      <c r="N18" s="38" t="inlineStr"/>
      <c r="O18" s="40">
        <f>IF(AND($B18&gt;=CurMonthStart,$B18&lt;=CurMonthEnd),$K18,0)</f>
        <v/>
      </c>
    </row>
    <row r="19">
      <c r="A19" s="38">
        <f>ROW()-5</f>
        <v/>
      </c>
      <c r="B19" s="39" t="n">
        <v>45884</v>
      </c>
      <c r="C19" s="38" t="inlineStr">
        <is>
          <t>Planet Fitness</t>
        </is>
      </c>
      <c r="D19" s="38">
        <f>IFERROR(INDEX(Dim_Vendor[VendorID],MATCH($C19,Dim_Vendor[VendorName],0)),"")</f>
        <v/>
      </c>
      <c r="E19" s="38" t="inlineStr">
        <is>
          <t>Personal Care</t>
        </is>
      </c>
      <c r="F19" s="38">
        <f>IFERROR(INDEX(Dim_Category[CategoryID],MATCH($E19,Dim_Category[CategoryName],0)),"")</f>
        <v/>
      </c>
      <c r="G19" s="38" t="inlineStr">
        <is>
          <t>Checking</t>
        </is>
      </c>
      <c r="H19" s="38">
        <f>IFERROR(INDEX(Dim_Account[AccountID],MATCH($G19,Dim_Account[AccountName],0)),"")</f>
        <v/>
      </c>
      <c r="I19" s="38" t="inlineStr">
        <is>
          <t>ACH</t>
        </is>
      </c>
      <c r="J19" s="38">
        <f>IFERROR(INDEX(Dim_PaymentMethod[PaymentMethodID],MATCH($I19,Dim_PaymentMethod[MethodName],0)),"")</f>
        <v/>
      </c>
      <c r="K19" s="40" t="n">
        <v>25.01</v>
      </c>
      <c r="L19" s="38" t="inlineStr">
        <is>
          <t>Want</t>
        </is>
      </c>
      <c r="M19" s="38" t="inlineStr">
        <is>
          <t>Yes</t>
        </is>
      </c>
      <c r="N19" s="38" t="inlineStr">
        <is>
          <t>Gym membership</t>
        </is>
      </c>
      <c r="O19" s="40">
        <f>IF(AND($B19&gt;=CurMonthStart,$B19&lt;=CurMonthEnd),$K19,0)</f>
        <v/>
      </c>
    </row>
    <row r="20">
      <c r="A20" s="38">
        <f>ROW()-5</f>
        <v/>
      </c>
      <c r="B20" s="39" t="n">
        <v>45887</v>
      </c>
      <c r="C20" s="38" t="inlineStr">
        <is>
          <t>Amazon</t>
        </is>
      </c>
      <c r="D20" s="38">
        <f>IFERROR(INDEX(Dim_Vendor[VendorID],MATCH($C20,Dim_Vendor[VendorName],0)),"")</f>
        <v/>
      </c>
      <c r="E20" s="38" t="inlineStr">
        <is>
          <t>Shopping</t>
        </is>
      </c>
      <c r="F20" s="38">
        <f>IFERROR(INDEX(Dim_Category[CategoryID],MATCH($E20,Dim_Category[CategoryName],0)),"")</f>
        <v/>
      </c>
      <c r="G20" s="38" t="inlineStr">
        <is>
          <t>Credit Card</t>
        </is>
      </c>
      <c r="H20" s="38">
        <f>IFERROR(INDEX(Dim_Account[AccountID],MATCH($G20,Dim_Account[AccountName],0)),"")</f>
        <v/>
      </c>
      <c r="I20" s="38" t="inlineStr">
        <is>
          <t>Credit Card</t>
        </is>
      </c>
      <c r="J20" s="38">
        <f>IFERROR(INDEX(Dim_PaymentMethod[PaymentMethodID],MATCH($I20,Dim_PaymentMethod[MethodName],0)),"")</f>
        <v/>
      </c>
      <c r="K20" s="40" t="n">
        <v>63.28</v>
      </c>
      <c r="L20" s="38" t="inlineStr">
        <is>
          <t>Want</t>
        </is>
      </c>
      <c r="M20" s="38" t="inlineStr">
        <is>
          <t>No</t>
        </is>
      </c>
      <c r="N20" s="38" t="inlineStr"/>
      <c r="O20" s="40">
        <f>IF(AND($B20&gt;=CurMonthStart,$B20&lt;=CurMonthEnd),$K20,0)</f>
        <v/>
      </c>
    </row>
    <row r="21">
      <c r="A21" s="38">
        <f>ROW()-5</f>
        <v/>
      </c>
      <c r="B21" s="39" t="n">
        <v>45890</v>
      </c>
      <c r="C21" s="38" t="inlineStr">
        <is>
          <t>Target</t>
        </is>
      </c>
      <c r="D21" s="38">
        <f>IFERROR(INDEX(Dim_Vendor[VendorID],MATCH($C21,Dim_Vendor[VendorName],0)),"")</f>
        <v/>
      </c>
      <c r="E21" s="38" t="inlineStr">
        <is>
          <t>Shopping</t>
        </is>
      </c>
      <c r="F21" s="38">
        <f>IFERROR(INDEX(Dim_Category[CategoryID],MATCH($E21,Dim_Category[CategoryName],0)),"")</f>
        <v/>
      </c>
      <c r="G21" s="38" t="inlineStr">
        <is>
          <t>Credit Card</t>
        </is>
      </c>
      <c r="H21" s="38">
        <f>IFERROR(INDEX(Dim_Account[AccountID],MATCH($G21,Dim_Account[AccountName],0)),"")</f>
        <v/>
      </c>
      <c r="I21" s="38" t="inlineStr">
        <is>
          <t>Credit Card</t>
        </is>
      </c>
      <c r="J21" s="38">
        <f>IFERROR(INDEX(Dim_PaymentMethod[PaymentMethodID],MATCH($I21,Dim_PaymentMethod[MethodName],0)),"")</f>
        <v/>
      </c>
      <c r="K21" s="40" t="n">
        <v>51.7</v>
      </c>
      <c r="L21" s="38" t="inlineStr">
        <is>
          <t>Want</t>
        </is>
      </c>
      <c r="M21" s="38" t="inlineStr">
        <is>
          <t>No</t>
        </is>
      </c>
      <c r="N21" s="38" t="inlineStr"/>
      <c r="O21" s="40">
        <f>IF(AND($B21&gt;=CurMonthStart,$B21&lt;=CurMonthEnd),$K21,0)</f>
        <v/>
      </c>
    </row>
    <row r="22">
      <c r="A22" s="38">
        <f>ROW()-5</f>
        <v/>
      </c>
      <c r="B22" s="39" t="n">
        <v>45903</v>
      </c>
      <c r="C22" s="38" t="inlineStr">
        <is>
          <t>Mortgage Lender</t>
        </is>
      </c>
      <c r="D22" s="38">
        <f>IFERROR(INDEX(Dim_Vendor[VendorID],MATCH($C22,Dim_Vendor[VendorName],0)),"")</f>
        <v/>
      </c>
      <c r="E22" s="38" t="inlineStr">
        <is>
          <t>Mortgage</t>
        </is>
      </c>
      <c r="F22" s="38">
        <f>IFERROR(INDEX(Dim_Category[CategoryID],MATCH($E22,Dim_Category[CategoryName],0)),"")</f>
        <v/>
      </c>
      <c r="G22" s="38" t="inlineStr">
        <is>
          <t>Checking</t>
        </is>
      </c>
      <c r="H22" s="38">
        <f>IFERROR(INDEX(Dim_Account[AccountID],MATCH($G22,Dim_Account[AccountName],0)),"")</f>
        <v/>
      </c>
      <c r="I22" s="38" t="inlineStr">
        <is>
          <t>ACH</t>
        </is>
      </c>
      <c r="J22" s="38">
        <f>IFERROR(INDEX(Dim_PaymentMethod[PaymentMethodID],MATCH($I22,Dim_PaymentMethod[MethodName],0)),"")</f>
        <v/>
      </c>
      <c r="K22" s="40" t="n">
        <v>2201.56</v>
      </c>
      <c r="L22" s="38" t="inlineStr">
        <is>
          <t>Need</t>
        </is>
      </c>
      <c r="M22" s="38" t="inlineStr">
        <is>
          <t>Yes</t>
        </is>
      </c>
      <c r="N22" s="38" t="inlineStr">
        <is>
          <t>Monthly mortgage payment</t>
        </is>
      </c>
      <c r="O22" s="40">
        <f>IF(AND($B22&gt;=CurMonthStart,$B22&lt;=CurMonthEnd),$K22,0)</f>
        <v/>
      </c>
    </row>
    <row r="23">
      <c r="A23" s="38">
        <f>ROW()-5</f>
        <v/>
      </c>
      <c r="B23" s="39" t="n">
        <v>45906</v>
      </c>
      <c r="C23" s="38" t="inlineStr">
        <is>
          <t>Whole Foods</t>
        </is>
      </c>
      <c r="D23" s="38">
        <f>IFERROR(INDEX(Dim_Vendor[VendorID],MATCH($C23,Dim_Vendor[VendorName],0)),"")</f>
        <v/>
      </c>
      <c r="E23" s="38" t="inlineStr">
        <is>
          <t>Groceries</t>
        </is>
      </c>
      <c r="F23" s="38">
        <f>IFERROR(INDEX(Dim_Category[CategoryID],MATCH($E23,Dim_Category[CategoryName],0)),"")</f>
        <v/>
      </c>
      <c r="G23" s="38" t="inlineStr">
        <is>
          <t>Credit Card</t>
        </is>
      </c>
      <c r="H23" s="38">
        <f>IFERROR(INDEX(Dim_Account[AccountID],MATCH($G23,Dim_Account[AccountName],0)),"")</f>
        <v/>
      </c>
      <c r="I23" s="38" t="inlineStr">
        <is>
          <t>Credit Card</t>
        </is>
      </c>
      <c r="J23" s="38">
        <f>IFERROR(INDEX(Dim_PaymentMethod[PaymentMethodID],MATCH($I23,Dim_PaymentMethod[MethodName],0)),"")</f>
        <v/>
      </c>
      <c r="K23" s="40" t="n">
        <v>187.76</v>
      </c>
      <c r="L23" s="38" t="inlineStr">
        <is>
          <t>Need</t>
        </is>
      </c>
      <c r="M23" s="38" t="inlineStr">
        <is>
          <t>No</t>
        </is>
      </c>
      <c r="N23" s="38" t="inlineStr"/>
      <c r="O23" s="40">
        <f>IF(AND($B23&gt;=CurMonthStart,$B23&lt;=CurMonthEnd),$K23,0)</f>
        <v/>
      </c>
    </row>
    <row r="24">
      <c r="A24" s="38">
        <f>ROW()-5</f>
        <v/>
      </c>
      <c r="B24" s="39" t="n">
        <v>45909</v>
      </c>
      <c r="C24" s="38" t="inlineStr">
        <is>
          <t>Costco</t>
        </is>
      </c>
      <c r="D24" s="38">
        <f>IFERROR(INDEX(Dim_Vendor[VendorID],MATCH($C24,Dim_Vendor[VendorName],0)),"")</f>
        <v/>
      </c>
      <c r="E24" s="38" t="inlineStr">
        <is>
          <t>Groceries</t>
        </is>
      </c>
      <c r="F24" s="38">
        <f>IFERROR(INDEX(Dim_Category[CategoryID],MATCH($E24,Dim_Category[CategoryName],0)),"")</f>
        <v/>
      </c>
      <c r="G24" s="38" t="inlineStr">
        <is>
          <t>Credit Card</t>
        </is>
      </c>
      <c r="H24" s="38">
        <f>IFERROR(INDEX(Dim_Account[AccountID],MATCH($G24,Dim_Account[AccountName],0)),"")</f>
        <v/>
      </c>
      <c r="I24" s="38" t="inlineStr">
        <is>
          <t>Credit Card</t>
        </is>
      </c>
      <c r="J24" s="38">
        <f>IFERROR(INDEX(Dim_PaymentMethod[PaymentMethodID],MATCH($I24,Dim_PaymentMethod[MethodName],0)),"")</f>
        <v/>
      </c>
      <c r="K24" s="40" t="n">
        <v>234.14</v>
      </c>
      <c r="L24" s="38" t="inlineStr">
        <is>
          <t>Need</t>
        </is>
      </c>
      <c r="M24" s="38" t="inlineStr">
        <is>
          <t>No</t>
        </is>
      </c>
      <c r="N24" s="38" t="inlineStr">
        <is>
          <t>Bulk groceries</t>
        </is>
      </c>
      <c r="O24" s="40">
        <f>IF(AND($B24&gt;=CurMonthStart,$B24&lt;=CurMonthEnd),$K24,0)</f>
        <v/>
      </c>
    </row>
    <row r="25">
      <c r="A25" s="38">
        <f>ROW()-5</f>
        <v/>
      </c>
      <c r="B25" s="39" t="n">
        <v>45912</v>
      </c>
      <c r="C25" s="38" t="inlineStr">
        <is>
          <t>Shell Gas Station</t>
        </is>
      </c>
      <c r="D25" s="38">
        <f>IFERROR(INDEX(Dim_Vendor[VendorID],MATCH($C25,Dim_Vendor[VendorName],0)),"")</f>
        <v/>
      </c>
      <c r="E25" s="38" t="inlineStr">
        <is>
          <t>Car</t>
        </is>
      </c>
      <c r="F25" s="38">
        <f>IFERROR(INDEX(Dim_Category[CategoryID],MATCH($E25,Dim_Category[CategoryName],0)),"")</f>
        <v/>
      </c>
      <c r="G25" s="38" t="inlineStr">
        <is>
          <t>Credit Card</t>
        </is>
      </c>
      <c r="H25" s="38">
        <f>IFERROR(INDEX(Dim_Account[AccountID],MATCH($G25,Dim_Account[AccountName],0)),"")</f>
        <v/>
      </c>
      <c r="I25" s="38" t="inlineStr">
        <is>
          <t>Credit Card</t>
        </is>
      </c>
      <c r="J25" s="38">
        <f>IFERROR(INDEX(Dim_PaymentMethod[PaymentMethodID],MATCH($I25,Dim_PaymentMethod[MethodName],0)),"")</f>
        <v/>
      </c>
      <c r="K25" s="40" t="n">
        <v>53.05</v>
      </c>
      <c r="L25" s="38" t="inlineStr">
        <is>
          <t>Need</t>
        </is>
      </c>
      <c r="M25" s="38" t="inlineStr">
        <is>
          <t>No</t>
        </is>
      </c>
      <c r="N25" s="38" t="inlineStr">
        <is>
          <t>Gas</t>
        </is>
      </c>
      <c r="O25" s="40">
        <f>IF(AND($B25&gt;=CurMonthStart,$B25&lt;=CurMonthEnd),$K25,0)</f>
        <v/>
      </c>
    </row>
    <row r="26">
      <c r="A26" s="38">
        <f>ROW()-5</f>
        <v/>
      </c>
      <c r="B26" s="39" t="n">
        <v>45915</v>
      </c>
      <c r="C26" s="38" t="inlineStr">
        <is>
          <t>AutoZone</t>
        </is>
      </c>
      <c r="D26" s="38">
        <f>IFERROR(INDEX(Dim_Vendor[VendorID],MATCH($C26,Dim_Vendor[VendorName],0)),"")</f>
        <v/>
      </c>
      <c r="E26" s="38" t="inlineStr">
        <is>
          <t>Car</t>
        </is>
      </c>
      <c r="F26" s="38">
        <f>IFERROR(INDEX(Dim_Category[CategoryID],MATCH($E26,Dim_Category[CategoryName],0)),"")</f>
        <v/>
      </c>
      <c r="G26" s="38" t="inlineStr">
        <is>
          <t>Credit Card</t>
        </is>
      </c>
      <c r="H26" s="38">
        <f>IFERROR(INDEX(Dim_Account[AccountID],MATCH($G26,Dim_Account[AccountName],0)),"")</f>
        <v/>
      </c>
      <c r="I26" s="38" t="inlineStr">
        <is>
          <t>Credit Card</t>
        </is>
      </c>
      <c r="J26" s="38">
        <f>IFERROR(INDEX(Dim_PaymentMethod[PaymentMethodID],MATCH($I26,Dim_PaymentMethod[MethodName],0)),"")</f>
        <v/>
      </c>
      <c r="K26" s="40" t="n">
        <v>40.67</v>
      </c>
      <c r="L26" s="38" t="inlineStr">
        <is>
          <t>Need</t>
        </is>
      </c>
      <c r="M26" s="38" t="inlineStr">
        <is>
          <t>No</t>
        </is>
      </c>
      <c r="N26" s="38" t="inlineStr">
        <is>
          <t>Wiper blades / oil</t>
        </is>
      </c>
      <c r="O26" s="40">
        <f>IF(AND($B26&gt;=CurMonthStart,$B26&lt;=CurMonthEnd),$K26,0)</f>
        <v/>
      </c>
    </row>
    <row r="27">
      <c r="A27" s="38">
        <f>ROW()-5</f>
        <v/>
      </c>
      <c r="B27" s="39" t="n">
        <v>45918</v>
      </c>
      <c r="C27" s="38" t="inlineStr">
        <is>
          <t>City Electric Co</t>
        </is>
      </c>
      <c r="D27" s="38">
        <f>IFERROR(INDEX(Dim_Vendor[VendorID],MATCH($C27,Dim_Vendor[VendorName],0)),"")</f>
        <v/>
      </c>
      <c r="E27" s="38" t="inlineStr">
        <is>
          <t>Utilities</t>
        </is>
      </c>
      <c r="F27" s="38">
        <f>IFERROR(INDEX(Dim_Category[CategoryID],MATCH($E27,Dim_Category[CategoryName],0)),"")</f>
        <v/>
      </c>
      <c r="G27" s="38" t="inlineStr">
        <is>
          <t>Checking</t>
        </is>
      </c>
      <c r="H27" s="38">
        <f>IFERROR(INDEX(Dim_Account[AccountID],MATCH($G27,Dim_Account[AccountName],0)),"")</f>
        <v/>
      </c>
      <c r="I27" s="38" t="inlineStr">
        <is>
          <t>ACH</t>
        </is>
      </c>
      <c r="J27" s="38">
        <f>IFERROR(INDEX(Dim_PaymentMethod[PaymentMethodID],MATCH($I27,Dim_PaymentMethod[MethodName],0)),"")</f>
        <v/>
      </c>
      <c r="K27" s="40" t="n">
        <v>118.45</v>
      </c>
      <c r="L27" s="38" t="inlineStr">
        <is>
          <t>Need</t>
        </is>
      </c>
      <c r="M27" s="38" t="inlineStr">
        <is>
          <t>Yes</t>
        </is>
      </c>
      <c r="N27" s="38" t="inlineStr"/>
      <c r="O27" s="40">
        <f>IF(AND($B27&gt;=CurMonthStart,$B27&lt;=CurMonthEnd),$K27,0)</f>
        <v/>
      </c>
    </row>
    <row r="28">
      <c r="A28" s="38">
        <f>ROW()-5</f>
        <v/>
      </c>
      <c r="B28" s="39" t="n">
        <v>45921</v>
      </c>
      <c r="C28" s="38" t="inlineStr">
        <is>
          <t>Comcast Xfinity</t>
        </is>
      </c>
      <c r="D28" s="38">
        <f>IFERROR(INDEX(Dim_Vendor[VendorID],MATCH($C28,Dim_Vendor[VendorName],0)),"")</f>
        <v/>
      </c>
      <c r="E28" s="38" t="inlineStr">
        <is>
          <t>Utilities</t>
        </is>
      </c>
      <c r="F28" s="38">
        <f>IFERROR(INDEX(Dim_Category[CategoryID],MATCH($E28,Dim_Category[CategoryName],0)),"")</f>
        <v/>
      </c>
      <c r="G28" s="38" t="inlineStr">
        <is>
          <t>Checking</t>
        </is>
      </c>
      <c r="H28" s="38">
        <f>IFERROR(INDEX(Dim_Account[AccountID],MATCH($G28,Dim_Account[AccountName],0)),"")</f>
        <v/>
      </c>
      <c r="I28" s="38" t="inlineStr">
        <is>
          <t>ACH</t>
        </is>
      </c>
      <c r="J28" s="38">
        <f>IFERROR(INDEX(Dim_PaymentMethod[PaymentMethodID],MATCH($I28,Dim_PaymentMethod[MethodName],0)),"")</f>
        <v/>
      </c>
      <c r="K28" s="40" t="n">
        <v>83.90000000000001</v>
      </c>
      <c r="L28" s="38" t="inlineStr">
        <is>
          <t>Need</t>
        </is>
      </c>
      <c r="M28" s="38" t="inlineStr">
        <is>
          <t>Yes</t>
        </is>
      </c>
      <c r="N28" s="38" t="inlineStr">
        <is>
          <t>Internet</t>
        </is>
      </c>
      <c r="O28" s="40">
        <f>IF(AND($B28&gt;=CurMonthStart,$B28&lt;=CurMonthEnd),$K28,0)</f>
        <v/>
      </c>
    </row>
    <row r="29">
      <c r="A29" s="38">
        <f>ROW()-5</f>
        <v/>
      </c>
      <c r="B29" s="39" t="n">
        <v>45924</v>
      </c>
      <c r="C29" s="38" t="inlineStr">
        <is>
          <t>Verizon Wireless</t>
        </is>
      </c>
      <c r="D29" s="38">
        <f>IFERROR(INDEX(Dim_Vendor[VendorID],MATCH($C29,Dim_Vendor[VendorName],0)),"")</f>
        <v/>
      </c>
      <c r="E29" s="38" t="inlineStr">
        <is>
          <t>Utilities</t>
        </is>
      </c>
      <c r="F29" s="38">
        <f>IFERROR(INDEX(Dim_Category[CategoryID],MATCH($E29,Dim_Category[CategoryName],0)),"")</f>
        <v/>
      </c>
      <c r="G29" s="38" t="inlineStr">
        <is>
          <t>Checking</t>
        </is>
      </c>
      <c r="H29" s="38">
        <f>IFERROR(INDEX(Dim_Account[AccountID],MATCH($G29,Dim_Account[AccountName],0)),"")</f>
        <v/>
      </c>
      <c r="I29" s="38" t="inlineStr">
        <is>
          <t>ACH</t>
        </is>
      </c>
      <c r="J29" s="38">
        <f>IFERROR(INDEX(Dim_PaymentMethod[PaymentMethodID],MATCH($I29,Dim_PaymentMethod[MethodName],0)),"")</f>
        <v/>
      </c>
      <c r="K29" s="40" t="n">
        <v>98.01000000000001</v>
      </c>
      <c r="L29" s="38" t="inlineStr">
        <is>
          <t>Need</t>
        </is>
      </c>
      <c r="M29" s="38" t="inlineStr">
        <is>
          <t>Yes</t>
        </is>
      </c>
      <c r="N29" s="38" t="inlineStr">
        <is>
          <t>Mobile phone</t>
        </is>
      </c>
      <c r="O29" s="40">
        <f>IF(AND($B29&gt;=CurMonthStart,$B29&lt;=CurMonthEnd),$K29,0)</f>
        <v/>
      </c>
    </row>
    <row r="30">
      <c r="A30" s="38">
        <f>ROW()-5</f>
        <v/>
      </c>
      <c r="B30" s="39" t="n">
        <v>45927</v>
      </c>
      <c r="C30" s="38" t="inlineStr">
        <is>
          <t>State Farm Insurance</t>
        </is>
      </c>
      <c r="D30" s="38">
        <f>IFERROR(INDEX(Dim_Vendor[VendorID],MATCH($C30,Dim_Vendor[VendorName],0)),"")</f>
        <v/>
      </c>
      <c r="E30" s="38" t="inlineStr">
        <is>
          <t>Insurance</t>
        </is>
      </c>
      <c r="F30" s="38">
        <f>IFERROR(INDEX(Dim_Category[CategoryID],MATCH($E30,Dim_Category[CategoryName],0)),"")</f>
        <v/>
      </c>
      <c r="G30" s="38" t="inlineStr">
        <is>
          <t>Checking</t>
        </is>
      </c>
      <c r="H30" s="38">
        <f>IFERROR(INDEX(Dim_Account[AccountID],MATCH($G30,Dim_Account[AccountName],0)),"")</f>
        <v/>
      </c>
      <c r="I30" s="38" t="inlineStr">
        <is>
          <t>ACH</t>
        </is>
      </c>
      <c r="J30" s="38">
        <f>IFERROR(INDEX(Dim_PaymentMethod[PaymentMethodID],MATCH($I30,Dim_PaymentMethod[MethodName],0)),"")</f>
        <v/>
      </c>
      <c r="K30" s="40" t="n">
        <v>138.37</v>
      </c>
      <c r="L30" s="38" t="inlineStr">
        <is>
          <t>Need</t>
        </is>
      </c>
      <c r="M30" s="38" t="inlineStr">
        <is>
          <t>Yes</t>
        </is>
      </c>
      <c r="N30" s="38" t="inlineStr">
        <is>
          <t>Auto + home insurance</t>
        </is>
      </c>
      <c r="O30" s="40">
        <f>IF(AND($B30&gt;=CurMonthStart,$B30&lt;=CurMonthEnd),$K30,0)</f>
        <v/>
      </c>
    </row>
    <row r="31">
      <c r="A31" s="38">
        <f>ROW()-5</f>
        <v/>
      </c>
      <c r="B31" s="39" t="n">
        <v>45903</v>
      </c>
      <c r="C31" s="38" t="inlineStr">
        <is>
          <t>Kaiser Permanente</t>
        </is>
      </c>
      <c r="D31" s="38">
        <f>IFERROR(INDEX(Dim_Vendor[VendorID],MATCH($C31,Dim_Vendor[VendorName],0)),"")</f>
        <v/>
      </c>
      <c r="E31" s="38" t="inlineStr">
        <is>
          <t>Healthcare</t>
        </is>
      </c>
      <c r="F31" s="38">
        <f>IFERROR(INDEX(Dim_Category[CategoryID],MATCH($E31,Dim_Category[CategoryName],0)),"")</f>
        <v/>
      </c>
      <c r="G31" s="38" t="inlineStr">
        <is>
          <t>Credit Card</t>
        </is>
      </c>
      <c r="H31" s="38">
        <f>IFERROR(INDEX(Dim_Account[AccountID],MATCH($G31,Dim_Account[AccountName],0)),"")</f>
        <v/>
      </c>
      <c r="I31" s="38" t="inlineStr">
        <is>
          <t>Credit Card</t>
        </is>
      </c>
      <c r="J31" s="38">
        <f>IFERROR(INDEX(Dim_PaymentMethod[PaymentMethodID],MATCH($I31,Dim_PaymentMethod[MethodName],0)),"")</f>
        <v/>
      </c>
      <c r="K31" s="40" t="n">
        <v>42.52</v>
      </c>
      <c r="L31" s="38" t="inlineStr">
        <is>
          <t>Need</t>
        </is>
      </c>
      <c r="M31" s="38" t="inlineStr">
        <is>
          <t>No</t>
        </is>
      </c>
      <c r="N31" s="38" t="inlineStr">
        <is>
          <t>Copay</t>
        </is>
      </c>
      <c r="O31" s="40">
        <f>IF(AND($B31&gt;=CurMonthStart,$B31&lt;=CurMonthEnd),$K31,0)</f>
        <v/>
      </c>
    </row>
    <row r="32">
      <c r="A32" s="38">
        <f>ROW()-5</f>
        <v/>
      </c>
      <c r="B32" s="39" t="n">
        <v>45906</v>
      </c>
      <c r="C32" s="38" t="inlineStr">
        <is>
          <t>Chipotle</t>
        </is>
      </c>
      <c r="D32" s="38">
        <f>IFERROR(INDEX(Dim_Vendor[VendorID],MATCH($C32,Dim_Vendor[VendorName],0)),"")</f>
        <v/>
      </c>
      <c r="E32" s="38" t="inlineStr">
        <is>
          <t>Dining &amp; Entertainment</t>
        </is>
      </c>
      <c r="F32" s="38">
        <f>IFERROR(INDEX(Dim_Category[CategoryID],MATCH($E32,Dim_Category[CategoryName],0)),"")</f>
        <v/>
      </c>
      <c r="G32" s="38" t="inlineStr">
        <is>
          <t>Credit Card</t>
        </is>
      </c>
      <c r="H32" s="38">
        <f>IFERROR(INDEX(Dim_Account[AccountID],MATCH($G32,Dim_Account[AccountName],0)),"")</f>
        <v/>
      </c>
      <c r="I32" s="38" t="inlineStr">
        <is>
          <t>Credit Card</t>
        </is>
      </c>
      <c r="J32" s="38">
        <f>IFERROR(INDEX(Dim_PaymentMethod[PaymentMethodID],MATCH($I32,Dim_PaymentMethod[MethodName],0)),"")</f>
        <v/>
      </c>
      <c r="K32" s="40" t="n">
        <v>14.25</v>
      </c>
      <c r="L32" s="38" t="inlineStr">
        <is>
          <t>Want</t>
        </is>
      </c>
      <c r="M32" s="38" t="inlineStr">
        <is>
          <t>No</t>
        </is>
      </c>
      <c r="N32" s="38" t="inlineStr"/>
      <c r="O32" s="40">
        <f>IF(AND($B32&gt;=CurMonthStart,$B32&lt;=CurMonthEnd),$K32,0)</f>
        <v/>
      </c>
    </row>
    <row r="33">
      <c r="A33" s="38">
        <f>ROW()-5</f>
        <v/>
      </c>
      <c r="B33" s="39" t="n">
        <v>45909</v>
      </c>
      <c r="C33" s="38" t="inlineStr">
        <is>
          <t>Netflix</t>
        </is>
      </c>
      <c r="D33" s="38">
        <f>IFERROR(INDEX(Dim_Vendor[VendorID],MATCH($C33,Dim_Vendor[VendorName],0)),"")</f>
        <v/>
      </c>
      <c r="E33" s="38" t="inlineStr">
        <is>
          <t>Dining &amp; Entertainment</t>
        </is>
      </c>
      <c r="F33" s="38">
        <f>IFERROR(INDEX(Dim_Category[CategoryID],MATCH($E33,Dim_Category[CategoryName],0)),"")</f>
        <v/>
      </c>
      <c r="G33" s="38" t="inlineStr">
        <is>
          <t>Credit Card</t>
        </is>
      </c>
      <c r="H33" s="38">
        <f>IFERROR(INDEX(Dim_Account[AccountID],MATCH($G33,Dim_Account[AccountName],0)),"")</f>
        <v/>
      </c>
      <c r="I33" s="38" t="inlineStr">
        <is>
          <t>Credit Card</t>
        </is>
      </c>
      <c r="J33" s="38">
        <f>IFERROR(INDEX(Dim_PaymentMethod[PaymentMethodID],MATCH($I33,Dim_PaymentMethod[MethodName],0)),"")</f>
        <v/>
      </c>
      <c r="K33" s="40" t="n">
        <v>15.49</v>
      </c>
      <c r="L33" s="38" t="inlineStr">
        <is>
          <t>Want</t>
        </is>
      </c>
      <c r="M33" s="38" t="inlineStr">
        <is>
          <t>Yes</t>
        </is>
      </c>
      <c r="N33" s="38" t="inlineStr">
        <is>
          <t>Streaming subscription</t>
        </is>
      </c>
      <c r="O33" s="40">
        <f>IF(AND($B33&gt;=CurMonthStart,$B33&lt;=CurMonthEnd),$K33,0)</f>
        <v/>
      </c>
    </row>
    <row r="34">
      <c r="A34" s="38">
        <f>ROW()-5</f>
        <v/>
      </c>
      <c r="B34" s="39" t="n">
        <v>45912</v>
      </c>
      <c r="C34" s="38" t="inlineStr">
        <is>
          <t>AMC Theatres</t>
        </is>
      </c>
      <c r="D34" s="38">
        <f>IFERROR(INDEX(Dim_Vendor[VendorID],MATCH($C34,Dim_Vendor[VendorName],0)),"")</f>
        <v/>
      </c>
      <c r="E34" s="38" t="inlineStr">
        <is>
          <t>Dining &amp; Entertainment</t>
        </is>
      </c>
      <c r="F34" s="38">
        <f>IFERROR(INDEX(Dim_Category[CategoryID],MATCH($E34,Dim_Category[CategoryName],0)),"")</f>
        <v/>
      </c>
      <c r="G34" s="38" t="inlineStr">
        <is>
          <t>Credit Card</t>
        </is>
      </c>
      <c r="H34" s="38">
        <f>IFERROR(INDEX(Dim_Account[AccountID],MATCH($G34,Dim_Account[AccountName],0)),"")</f>
        <v/>
      </c>
      <c r="I34" s="38" t="inlineStr">
        <is>
          <t>Credit Card</t>
        </is>
      </c>
      <c r="J34" s="38">
        <f>IFERROR(INDEX(Dim_PaymentMethod[PaymentMethodID],MATCH($I34,Dim_PaymentMethod[MethodName],0)),"")</f>
        <v/>
      </c>
      <c r="K34" s="40" t="n">
        <v>34.34</v>
      </c>
      <c r="L34" s="38" t="inlineStr">
        <is>
          <t>Want</t>
        </is>
      </c>
      <c r="M34" s="38" t="inlineStr">
        <is>
          <t>No</t>
        </is>
      </c>
      <c r="N34" s="38" t="inlineStr"/>
      <c r="O34" s="40">
        <f>IF(AND($B34&gt;=CurMonthStart,$B34&lt;=CurMonthEnd),$K34,0)</f>
        <v/>
      </c>
    </row>
    <row r="35">
      <c r="A35" s="38">
        <f>ROW()-5</f>
        <v/>
      </c>
      <c r="B35" s="39" t="n">
        <v>45915</v>
      </c>
      <c r="C35" s="38" t="inlineStr">
        <is>
          <t>Planet Fitness</t>
        </is>
      </c>
      <c r="D35" s="38">
        <f>IFERROR(INDEX(Dim_Vendor[VendorID],MATCH($C35,Dim_Vendor[VendorName],0)),"")</f>
        <v/>
      </c>
      <c r="E35" s="38" t="inlineStr">
        <is>
          <t>Personal Care</t>
        </is>
      </c>
      <c r="F35" s="38">
        <f>IFERROR(INDEX(Dim_Category[CategoryID],MATCH($E35,Dim_Category[CategoryName],0)),"")</f>
        <v/>
      </c>
      <c r="G35" s="38" t="inlineStr">
        <is>
          <t>Checking</t>
        </is>
      </c>
      <c r="H35" s="38">
        <f>IFERROR(INDEX(Dim_Account[AccountID],MATCH($G35,Dim_Account[AccountName],0)),"")</f>
        <v/>
      </c>
      <c r="I35" s="38" t="inlineStr">
        <is>
          <t>ACH</t>
        </is>
      </c>
      <c r="J35" s="38">
        <f>IFERROR(INDEX(Dim_PaymentMethod[PaymentMethodID],MATCH($I35,Dim_PaymentMethod[MethodName],0)),"")</f>
        <v/>
      </c>
      <c r="K35" s="40" t="n">
        <v>24.34</v>
      </c>
      <c r="L35" s="38" t="inlineStr">
        <is>
          <t>Want</t>
        </is>
      </c>
      <c r="M35" s="38" t="inlineStr">
        <is>
          <t>Yes</t>
        </is>
      </c>
      <c r="N35" s="38" t="inlineStr">
        <is>
          <t>Gym membership</t>
        </is>
      </c>
      <c r="O35" s="40">
        <f>IF(AND($B35&gt;=CurMonthStart,$B35&lt;=CurMonthEnd),$K35,0)</f>
        <v/>
      </c>
    </row>
    <row r="36">
      <c r="A36" s="38">
        <f>ROW()-5</f>
        <v/>
      </c>
      <c r="B36" s="39" t="n">
        <v>45918</v>
      </c>
      <c r="C36" s="38" t="inlineStr">
        <is>
          <t>Amazon</t>
        </is>
      </c>
      <c r="D36" s="38">
        <f>IFERROR(INDEX(Dim_Vendor[VendorID],MATCH($C36,Dim_Vendor[VendorName],0)),"")</f>
        <v/>
      </c>
      <c r="E36" s="38" t="inlineStr">
        <is>
          <t>Shopping</t>
        </is>
      </c>
      <c r="F36" s="38">
        <f>IFERROR(INDEX(Dim_Category[CategoryID],MATCH($E36,Dim_Category[CategoryName],0)),"")</f>
        <v/>
      </c>
      <c r="G36" s="38" t="inlineStr">
        <is>
          <t>Credit Card</t>
        </is>
      </c>
      <c r="H36" s="38">
        <f>IFERROR(INDEX(Dim_Account[AccountID],MATCH($G36,Dim_Account[AccountName],0)),"")</f>
        <v/>
      </c>
      <c r="I36" s="38" t="inlineStr">
        <is>
          <t>Credit Card</t>
        </is>
      </c>
      <c r="J36" s="38">
        <f>IFERROR(INDEX(Dim_PaymentMethod[PaymentMethodID],MATCH($I36,Dim_PaymentMethod[MethodName],0)),"")</f>
        <v/>
      </c>
      <c r="K36" s="40" t="n">
        <v>64.01000000000001</v>
      </c>
      <c r="L36" s="38" t="inlineStr">
        <is>
          <t>Want</t>
        </is>
      </c>
      <c r="M36" s="38" t="inlineStr">
        <is>
          <t>No</t>
        </is>
      </c>
      <c r="N36" s="38" t="inlineStr"/>
      <c r="O36" s="40">
        <f>IF(AND($B36&gt;=CurMonthStart,$B36&lt;=CurMonthEnd),$K36,0)</f>
        <v/>
      </c>
    </row>
    <row r="37">
      <c r="A37" s="38">
        <f>ROW()-5</f>
        <v/>
      </c>
      <c r="B37" s="39" t="n">
        <v>45921</v>
      </c>
      <c r="C37" s="38" t="inlineStr">
        <is>
          <t>Target</t>
        </is>
      </c>
      <c r="D37" s="38">
        <f>IFERROR(INDEX(Dim_Vendor[VendorID],MATCH($C37,Dim_Vendor[VendorName],0)),"")</f>
        <v/>
      </c>
      <c r="E37" s="38" t="inlineStr">
        <is>
          <t>Shopping</t>
        </is>
      </c>
      <c r="F37" s="38">
        <f>IFERROR(INDEX(Dim_Category[CategoryID],MATCH($E37,Dim_Category[CategoryName],0)),"")</f>
        <v/>
      </c>
      <c r="G37" s="38" t="inlineStr">
        <is>
          <t>Credit Card</t>
        </is>
      </c>
      <c r="H37" s="38">
        <f>IFERROR(INDEX(Dim_Account[AccountID],MATCH($G37,Dim_Account[AccountName],0)),"")</f>
        <v/>
      </c>
      <c r="I37" s="38" t="inlineStr">
        <is>
          <t>Credit Card</t>
        </is>
      </c>
      <c r="J37" s="38">
        <f>IFERROR(INDEX(Dim_PaymentMethod[PaymentMethodID],MATCH($I37,Dim_PaymentMethod[MethodName],0)),"")</f>
        <v/>
      </c>
      <c r="K37" s="40" t="n">
        <v>50.81</v>
      </c>
      <c r="L37" s="38" t="inlineStr">
        <is>
          <t>Want</t>
        </is>
      </c>
      <c r="M37" s="38" t="inlineStr">
        <is>
          <t>No</t>
        </is>
      </c>
      <c r="N37" s="38" t="inlineStr"/>
      <c r="O37" s="40">
        <f>IF(AND($B37&gt;=CurMonthStart,$B37&lt;=CurMonthEnd),$K37,0)</f>
        <v/>
      </c>
    </row>
    <row r="38">
      <c r="A38" s="38">
        <f>ROW()-5</f>
        <v/>
      </c>
      <c r="B38" s="39" t="n">
        <v>45933</v>
      </c>
      <c r="C38" s="38" t="inlineStr">
        <is>
          <t>Mortgage Lender</t>
        </is>
      </c>
      <c r="D38" s="38">
        <f>IFERROR(INDEX(Dim_Vendor[VendorID],MATCH($C38,Dim_Vendor[VendorName],0)),"")</f>
        <v/>
      </c>
      <c r="E38" s="38" t="inlineStr">
        <is>
          <t>Mortgage</t>
        </is>
      </c>
      <c r="F38" s="38">
        <f>IFERROR(INDEX(Dim_Category[CategoryID],MATCH($E38,Dim_Category[CategoryName],0)),"")</f>
        <v/>
      </c>
      <c r="G38" s="38" t="inlineStr">
        <is>
          <t>Checking</t>
        </is>
      </c>
      <c r="H38" s="38">
        <f>IFERROR(INDEX(Dim_Account[AccountID],MATCH($G38,Dim_Account[AccountName],0)),"")</f>
        <v/>
      </c>
      <c r="I38" s="38" t="inlineStr">
        <is>
          <t>ACH</t>
        </is>
      </c>
      <c r="J38" s="38">
        <f>IFERROR(INDEX(Dim_PaymentMethod[PaymentMethodID],MATCH($I38,Dim_PaymentMethod[MethodName],0)),"")</f>
        <v/>
      </c>
      <c r="K38" s="40" t="n">
        <v>2269.54</v>
      </c>
      <c r="L38" s="38" t="inlineStr">
        <is>
          <t>Need</t>
        </is>
      </c>
      <c r="M38" s="38" t="inlineStr">
        <is>
          <t>Yes</t>
        </is>
      </c>
      <c r="N38" s="38" t="inlineStr">
        <is>
          <t>Monthly mortgage payment</t>
        </is>
      </c>
      <c r="O38" s="40">
        <f>IF(AND($B38&gt;=CurMonthStart,$B38&lt;=CurMonthEnd),$K38,0)</f>
        <v/>
      </c>
    </row>
    <row r="39">
      <c r="A39" s="38">
        <f>ROW()-5</f>
        <v/>
      </c>
      <c r="B39" s="39" t="n">
        <v>45936</v>
      </c>
      <c r="C39" s="38" t="inlineStr">
        <is>
          <t>Whole Foods</t>
        </is>
      </c>
      <c r="D39" s="38">
        <f>IFERROR(INDEX(Dim_Vendor[VendorID],MATCH($C39,Dim_Vendor[VendorName],0)),"")</f>
        <v/>
      </c>
      <c r="E39" s="38" t="inlineStr">
        <is>
          <t>Groceries</t>
        </is>
      </c>
      <c r="F39" s="38">
        <f>IFERROR(INDEX(Dim_Category[CategoryID],MATCH($E39,Dim_Category[CategoryName],0)),"")</f>
        <v/>
      </c>
      <c r="G39" s="38" t="inlineStr">
        <is>
          <t>Credit Card</t>
        </is>
      </c>
      <c r="H39" s="38">
        <f>IFERROR(INDEX(Dim_Account[AccountID],MATCH($G39,Dim_Account[AccountName],0)),"")</f>
        <v/>
      </c>
      <c r="I39" s="38" t="inlineStr">
        <is>
          <t>Credit Card</t>
        </is>
      </c>
      <c r="J39" s="38">
        <f>IFERROR(INDEX(Dim_PaymentMethod[PaymentMethodID],MATCH($I39,Dim_PaymentMethod[MethodName],0)),"")</f>
        <v/>
      </c>
      <c r="K39" s="40" t="n">
        <v>189.51</v>
      </c>
      <c r="L39" s="38" t="inlineStr">
        <is>
          <t>Need</t>
        </is>
      </c>
      <c r="M39" s="38" t="inlineStr">
        <is>
          <t>No</t>
        </is>
      </c>
      <c r="N39" s="38" t="inlineStr"/>
      <c r="O39" s="40">
        <f>IF(AND($B39&gt;=CurMonthStart,$B39&lt;=CurMonthEnd),$K39,0)</f>
        <v/>
      </c>
    </row>
    <row r="40">
      <c r="A40" s="38">
        <f>ROW()-5</f>
        <v/>
      </c>
      <c r="B40" s="39" t="n">
        <v>45939</v>
      </c>
      <c r="C40" s="38" t="inlineStr">
        <is>
          <t>Costco</t>
        </is>
      </c>
      <c r="D40" s="38">
        <f>IFERROR(INDEX(Dim_Vendor[VendorID],MATCH($C40,Dim_Vendor[VendorName],0)),"")</f>
        <v/>
      </c>
      <c r="E40" s="38" t="inlineStr">
        <is>
          <t>Groceries</t>
        </is>
      </c>
      <c r="F40" s="38">
        <f>IFERROR(INDEX(Dim_Category[CategoryID],MATCH($E40,Dim_Category[CategoryName],0)),"")</f>
        <v/>
      </c>
      <c r="G40" s="38" t="inlineStr">
        <is>
          <t>Credit Card</t>
        </is>
      </c>
      <c r="H40" s="38">
        <f>IFERROR(INDEX(Dim_Account[AccountID],MATCH($G40,Dim_Account[AccountName],0)),"")</f>
        <v/>
      </c>
      <c r="I40" s="38" t="inlineStr">
        <is>
          <t>Credit Card</t>
        </is>
      </c>
      <c r="J40" s="38">
        <f>IFERROR(INDEX(Dim_PaymentMethod[PaymentMethodID],MATCH($I40,Dim_PaymentMethod[MethodName],0)),"")</f>
        <v/>
      </c>
      <c r="K40" s="40" t="n">
        <v>257.14</v>
      </c>
      <c r="L40" s="38" t="inlineStr">
        <is>
          <t>Need</t>
        </is>
      </c>
      <c r="M40" s="38" t="inlineStr">
        <is>
          <t>No</t>
        </is>
      </c>
      <c r="N40" s="38" t="inlineStr">
        <is>
          <t>Bulk groceries</t>
        </is>
      </c>
      <c r="O40" s="40">
        <f>IF(AND($B40&gt;=CurMonthStart,$B40&lt;=CurMonthEnd),$K40,0)</f>
        <v/>
      </c>
    </row>
    <row r="41">
      <c r="A41" s="38">
        <f>ROW()-5</f>
        <v/>
      </c>
      <c r="B41" s="39" t="n">
        <v>45942</v>
      </c>
      <c r="C41" s="38" t="inlineStr">
        <is>
          <t>Shell Gas Station</t>
        </is>
      </c>
      <c r="D41" s="38">
        <f>IFERROR(INDEX(Dim_Vendor[VendorID],MATCH($C41,Dim_Vendor[VendorName],0)),"")</f>
        <v/>
      </c>
      <c r="E41" s="38" t="inlineStr">
        <is>
          <t>Car</t>
        </is>
      </c>
      <c r="F41" s="38">
        <f>IFERROR(INDEX(Dim_Category[CategoryID],MATCH($E41,Dim_Category[CategoryName],0)),"")</f>
        <v/>
      </c>
      <c r="G41" s="38" t="inlineStr">
        <is>
          <t>Credit Card</t>
        </is>
      </c>
      <c r="H41" s="38">
        <f>IFERROR(INDEX(Dim_Account[AccountID],MATCH($G41,Dim_Account[AccountName],0)),"")</f>
        <v/>
      </c>
      <c r="I41" s="38" t="inlineStr">
        <is>
          <t>Credit Card</t>
        </is>
      </c>
      <c r="J41" s="38">
        <f>IFERROR(INDEX(Dim_PaymentMethod[PaymentMethodID],MATCH($I41,Dim_PaymentMethod[MethodName],0)),"")</f>
        <v/>
      </c>
      <c r="K41" s="40" t="n">
        <v>54.22</v>
      </c>
      <c r="L41" s="38" t="inlineStr">
        <is>
          <t>Need</t>
        </is>
      </c>
      <c r="M41" s="38" t="inlineStr">
        <is>
          <t>No</t>
        </is>
      </c>
      <c r="N41" s="38" t="inlineStr">
        <is>
          <t>Gas</t>
        </is>
      </c>
      <c r="O41" s="40">
        <f>IF(AND($B41&gt;=CurMonthStart,$B41&lt;=CurMonthEnd),$K41,0)</f>
        <v/>
      </c>
    </row>
    <row r="42">
      <c r="A42" s="38">
        <f>ROW()-5</f>
        <v/>
      </c>
      <c r="B42" s="39" t="n">
        <v>45945</v>
      </c>
      <c r="C42" s="38" t="inlineStr">
        <is>
          <t>AutoZone</t>
        </is>
      </c>
      <c r="D42" s="38">
        <f>IFERROR(INDEX(Dim_Vendor[VendorID],MATCH($C42,Dim_Vendor[VendorName],0)),"")</f>
        <v/>
      </c>
      <c r="E42" s="38" t="inlineStr">
        <is>
          <t>Car</t>
        </is>
      </c>
      <c r="F42" s="38">
        <f>IFERROR(INDEX(Dim_Category[CategoryID],MATCH($E42,Dim_Category[CategoryName],0)),"")</f>
        <v/>
      </c>
      <c r="G42" s="38" t="inlineStr">
        <is>
          <t>Credit Card</t>
        </is>
      </c>
      <c r="H42" s="38">
        <f>IFERROR(INDEX(Dim_Account[AccountID],MATCH($G42,Dim_Account[AccountName],0)),"")</f>
        <v/>
      </c>
      <c r="I42" s="38" t="inlineStr">
        <is>
          <t>Credit Card</t>
        </is>
      </c>
      <c r="J42" s="38">
        <f>IFERROR(INDEX(Dim_PaymentMethod[PaymentMethodID],MATCH($I42,Dim_PaymentMethod[MethodName],0)),"")</f>
        <v/>
      </c>
      <c r="K42" s="40" t="n">
        <v>38.97</v>
      </c>
      <c r="L42" s="38" t="inlineStr">
        <is>
          <t>Need</t>
        </is>
      </c>
      <c r="M42" s="38" t="inlineStr">
        <is>
          <t>No</t>
        </is>
      </c>
      <c r="N42" s="38" t="inlineStr">
        <is>
          <t>Wiper blades / oil</t>
        </is>
      </c>
      <c r="O42" s="40">
        <f>IF(AND($B42&gt;=CurMonthStart,$B42&lt;=CurMonthEnd),$K42,0)</f>
        <v/>
      </c>
    </row>
    <row r="43">
      <c r="A43" s="38">
        <f>ROW()-5</f>
        <v/>
      </c>
      <c r="B43" s="39" t="n">
        <v>45948</v>
      </c>
      <c r="C43" s="38" t="inlineStr">
        <is>
          <t>City Electric Co</t>
        </is>
      </c>
      <c r="D43" s="38">
        <f>IFERROR(INDEX(Dim_Vendor[VendorID],MATCH($C43,Dim_Vendor[VendorName],0)),"")</f>
        <v/>
      </c>
      <c r="E43" s="38" t="inlineStr">
        <is>
          <t>Utilities</t>
        </is>
      </c>
      <c r="F43" s="38">
        <f>IFERROR(INDEX(Dim_Category[CategoryID],MATCH($E43,Dim_Category[CategoryName],0)),"")</f>
        <v/>
      </c>
      <c r="G43" s="38" t="inlineStr">
        <is>
          <t>Checking</t>
        </is>
      </c>
      <c r="H43" s="38">
        <f>IFERROR(INDEX(Dim_Account[AccountID],MATCH($G43,Dim_Account[AccountName],0)),"")</f>
        <v/>
      </c>
      <c r="I43" s="38" t="inlineStr">
        <is>
          <t>ACH</t>
        </is>
      </c>
      <c r="J43" s="38">
        <f>IFERROR(INDEX(Dim_PaymentMethod[PaymentMethodID],MATCH($I43,Dim_PaymentMethod[MethodName],0)),"")</f>
        <v/>
      </c>
      <c r="K43" s="40" t="n">
        <v>138.33</v>
      </c>
      <c r="L43" s="38" t="inlineStr">
        <is>
          <t>Need</t>
        </is>
      </c>
      <c r="M43" s="38" t="inlineStr">
        <is>
          <t>Yes</t>
        </is>
      </c>
      <c r="N43" s="38" t="inlineStr"/>
      <c r="O43" s="40">
        <f>IF(AND($B43&gt;=CurMonthStart,$B43&lt;=CurMonthEnd),$K43,0)</f>
        <v/>
      </c>
    </row>
    <row r="44">
      <c r="A44" s="38">
        <f>ROW()-5</f>
        <v/>
      </c>
      <c r="B44" s="39" t="n">
        <v>45951</v>
      </c>
      <c r="C44" s="38" t="inlineStr">
        <is>
          <t>Comcast Xfinity</t>
        </is>
      </c>
      <c r="D44" s="38">
        <f>IFERROR(INDEX(Dim_Vendor[VendorID],MATCH($C44,Dim_Vendor[VendorName],0)),"")</f>
        <v/>
      </c>
      <c r="E44" s="38" t="inlineStr">
        <is>
          <t>Utilities</t>
        </is>
      </c>
      <c r="F44" s="38">
        <f>IFERROR(INDEX(Dim_Category[CategoryID],MATCH($E44,Dim_Category[CategoryName],0)),"")</f>
        <v/>
      </c>
      <c r="G44" s="38" t="inlineStr">
        <is>
          <t>Checking</t>
        </is>
      </c>
      <c r="H44" s="38">
        <f>IFERROR(INDEX(Dim_Account[AccountID],MATCH($G44,Dim_Account[AccountName],0)),"")</f>
        <v/>
      </c>
      <c r="I44" s="38" t="inlineStr">
        <is>
          <t>ACH</t>
        </is>
      </c>
      <c r="J44" s="38">
        <f>IFERROR(INDEX(Dim_PaymentMethod[PaymentMethodID],MATCH($I44,Dim_PaymentMethod[MethodName],0)),"")</f>
        <v/>
      </c>
      <c r="K44" s="40" t="n">
        <v>78.44</v>
      </c>
      <c r="L44" s="38" t="inlineStr">
        <is>
          <t>Need</t>
        </is>
      </c>
      <c r="M44" s="38" t="inlineStr">
        <is>
          <t>Yes</t>
        </is>
      </c>
      <c r="N44" s="38" t="inlineStr">
        <is>
          <t>Internet</t>
        </is>
      </c>
      <c r="O44" s="40">
        <f>IF(AND($B44&gt;=CurMonthStart,$B44&lt;=CurMonthEnd),$K44,0)</f>
        <v/>
      </c>
    </row>
    <row r="45">
      <c r="A45" s="38">
        <f>ROW()-5</f>
        <v/>
      </c>
      <c r="B45" s="39" t="n">
        <v>45954</v>
      </c>
      <c r="C45" s="38" t="inlineStr">
        <is>
          <t>Verizon Wireless</t>
        </is>
      </c>
      <c r="D45" s="38">
        <f>IFERROR(INDEX(Dim_Vendor[VendorID],MATCH($C45,Dim_Vendor[VendorName],0)),"")</f>
        <v/>
      </c>
      <c r="E45" s="38" t="inlineStr">
        <is>
          <t>Utilities</t>
        </is>
      </c>
      <c r="F45" s="38">
        <f>IFERROR(INDEX(Dim_Category[CategoryID],MATCH($E45,Dim_Category[CategoryName],0)),"")</f>
        <v/>
      </c>
      <c r="G45" s="38" t="inlineStr">
        <is>
          <t>Checking</t>
        </is>
      </c>
      <c r="H45" s="38">
        <f>IFERROR(INDEX(Dim_Account[AccountID],MATCH($G45,Dim_Account[AccountName],0)),"")</f>
        <v/>
      </c>
      <c r="I45" s="38" t="inlineStr">
        <is>
          <t>ACH</t>
        </is>
      </c>
      <c r="J45" s="38">
        <f>IFERROR(INDEX(Dim_PaymentMethod[PaymentMethodID],MATCH($I45,Dim_PaymentMethod[MethodName],0)),"")</f>
        <v/>
      </c>
      <c r="K45" s="40" t="n">
        <v>95.79000000000001</v>
      </c>
      <c r="L45" s="38" t="inlineStr">
        <is>
          <t>Need</t>
        </is>
      </c>
      <c r="M45" s="38" t="inlineStr">
        <is>
          <t>Yes</t>
        </is>
      </c>
      <c r="N45" s="38" t="inlineStr">
        <is>
          <t>Mobile phone</t>
        </is>
      </c>
      <c r="O45" s="40">
        <f>IF(AND($B45&gt;=CurMonthStart,$B45&lt;=CurMonthEnd),$K45,0)</f>
        <v/>
      </c>
    </row>
    <row r="46">
      <c r="A46" s="38">
        <f>ROW()-5</f>
        <v/>
      </c>
      <c r="B46" s="39" t="n">
        <v>45957</v>
      </c>
      <c r="C46" s="38" t="inlineStr">
        <is>
          <t>State Farm Insurance</t>
        </is>
      </c>
      <c r="D46" s="38">
        <f>IFERROR(INDEX(Dim_Vendor[VendorID],MATCH($C46,Dim_Vendor[VendorName],0)),"")</f>
        <v/>
      </c>
      <c r="E46" s="38" t="inlineStr">
        <is>
          <t>Insurance</t>
        </is>
      </c>
      <c r="F46" s="38">
        <f>IFERROR(INDEX(Dim_Category[CategoryID],MATCH($E46,Dim_Category[CategoryName],0)),"")</f>
        <v/>
      </c>
      <c r="G46" s="38" t="inlineStr">
        <is>
          <t>Checking</t>
        </is>
      </c>
      <c r="H46" s="38">
        <f>IFERROR(INDEX(Dim_Account[AccountID],MATCH($G46,Dim_Account[AccountName],0)),"")</f>
        <v/>
      </c>
      <c r="I46" s="38" t="inlineStr">
        <is>
          <t>ACH</t>
        </is>
      </c>
      <c r="J46" s="38">
        <f>IFERROR(INDEX(Dim_PaymentMethod[PaymentMethodID],MATCH($I46,Dim_PaymentMethod[MethodName],0)),"")</f>
        <v/>
      </c>
      <c r="K46" s="40" t="n">
        <v>149.48</v>
      </c>
      <c r="L46" s="38" t="inlineStr">
        <is>
          <t>Need</t>
        </is>
      </c>
      <c r="M46" s="38" t="inlineStr">
        <is>
          <t>Yes</t>
        </is>
      </c>
      <c r="N46" s="38" t="inlineStr">
        <is>
          <t>Auto + home insurance</t>
        </is>
      </c>
      <c r="O46" s="40">
        <f>IF(AND($B46&gt;=CurMonthStart,$B46&lt;=CurMonthEnd),$K46,0)</f>
        <v/>
      </c>
    </row>
    <row r="47">
      <c r="A47" s="38">
        <f>ROW()-5</f>
        <v/>
      </c>
      <c r="B47" s="39" t="n">
        <v>45933</v>
      </c>
      <c r="C47" s="38" t="inlineStr">
        <is>
          <t>Kaiser Permanente</t>
        </is>
      </c>
      <c r="D47" s="38">
        <f>IFERROR(INDEX(Dim_Vendor[VendorID],MATCH($C47,Dim_Vendor[VendorName],0)),"")</f>
        <v/>
      </c>
      <c r="E47" s="38" t="inlineStr">
        <is>
          <t>Healthcare</t>
        </is>
      </c>
      <c r="F47" s="38">
        <f>IFERROR(INDEX(Dim_Category[CategoryID],MATCH($E47,Dim_Category[CategoryName],0)),"")</f>
        <v/>
      </c>
      <c r="G47" s="38" t="inlineStr">
        <is>
          <t>Credit Card</t>
        </is>
      </c>
      <c r="H47" s="38">
        <f>IFERROR(INDEX(Dim_Account[AccountID],MATCH($G47,Dim_Account[AccountName],0)),"")</f>
        <v/>
      </c>
      <c r="I47" s="38" t="inlineStr">
        <is>
          <t>Credit Card</t>
        </is>
      </c>
      <c r="J47" s="38">
        <f>IFERROR(INDEX(Dim_PaymentMethod[PaymentMethodID],MATCH($I47,Dim_PaymentMethod[MethodName],0)),"")</f>
        <v/>
      </c>
      <c r="K47" s="40" t="n">
        <v>45.85</v>
      </c>
      <c r="L47" s="38" t="inlineStr">
        <is>
          <t>Need</t>
        </is>
      </c>
      <c r="M47" s="38" t="inlineStr">
        <is>
          <t>No</t>
        </is>
      </c>
      <c r="N47" s="38" t="inlineStr">
        <is>
          <t>Copay</t>
        </is>
      </c>
      <c r="O47" s="40">
        <f>IF(AND($B47&gt;=CurMonthStart,$B47&lt;=CurMonthEnd),$K47,0)</f>
        <v/>
      </c>
    </row>
    <row r="48">
      <c r="A48" s="38">
        <f>ROW()-5</f>
        <v/>
      </c>
      <c r="B48" s="39" t="n">
        <v>45936</v>
      </c>
      <c r="C48" s="38" t="inlineStr">
        <is>
          <t>Chipotle</t>
        </is>
      </c>
      <c r="D48" s="38">
        <f>IFERROR(INDEX(Dim_Vendor[VendorID],MATCH($C48,Dim_Vendor[VendorName],0)),"")</f>
        <v/>
      </c>
      <c r="E48" s="38" t="inlineStr">
        <is>
          <t>Dining &amp; Entertainment</t>
        </is>
      </c>
      <c r="F48" s="38">
        <f>IFERROR(INDEX(Dim_Category[CategoryID],MATCH($E48,Dim_Category[CategoryName],0)),"")</f>
        <v/>
      </c>
      <c r="G48" s="38" t="inlineStr">
        <is>
          <t>Credit Card</t>
        </is>
      </c>
      <c r="H48" s="38">
        <f>IFERROR(INDEX(Dim_Account[AccountID],MATCH($G48,Dim_Account[AccountName],0)),"")</f>
        <v/>
      </c>
      <c r="I48" s="38" t="inlineStr">
        <is>
          <t>Credit Card</t>
        </is>
      </c>
      <c r="J48" s="38">
        <f>IFERROR(INDEX(Dim_PaymentMethod[PaymentMethodID],MATCH($I48,Dim_PaymentMethod[MethodName],0)),"")</f>
        <v/>
      </c>
      <c r="K48" s="40" t="n">
        <v>14.25</v>
      </c>
      <c r="L48" s="38" t="inlineStr">
        <is>
          <t>Want</t>
        </is>
      </c>
      <c r="M48" s="38" t="inlineStr">
        <is>
          <t>No</t>
        </is>
      </c>
      <c r="N48" s="38" t="inlineStr"/>
      <c r="O48" s="40">
        <f>IF(AND($B48&gt;=CurMonthStart,$B48&lt;=CurMonthEnd),$K48,0)</f>
        <v/>
      </c>
    </row>
    <row r="49">
      <c r="A49" s="38">
        <f>ROW()-5</f>
        <v/>
      </c>
      <c r="B49" s="39" t="n">
        <v>45939</v>
      </c>
      <c r="C49" s="38" t="inlineStr">
        <is>
          <t>Netflix</t>
        </is>
      </c>
      <c r="D49" s="38">
        <f>IFERROR(INDEX(Dim_Vendor[VendorID],MATCH($C49,Dim_Vendor[VendorName],0)),"")</f>
        <v/>
      </c>
      <c r="E49" s="38" t="inlineStr">
        <is>
          <t>Dining &amp; Entertainment</t>
        </is>
      </c>
      <c r="F49" s="38">
        <f>IFERROR(INDEX(Dim_Category[CategoryID],MATCH($E49,Dim_Category[CategoryName],0)),"")</f>
        <v/>
      </c>
      <c r="G49" s="38" t="inlineStr">
        <is>
          <t>Credit Card</t>
        </is>
      </c>
      <c r="H49" s="38">
        <f>IFERROR(INDEX(Dim_Account[AccountID],MATCH($G49,Dim_Account[AccountName],0)),"")</f>
        <v/>
      </c>
      <c r="I49" s="38" t="inlineStr">
        <is>
          <t>Credit Card</t>
        </is>
      </c>
      <c r="J49" s="38">
        <f>IFERROR(INDEX(Dim_PaymentMethod[PaymentMethodID],MATCH($I49,Dim_PaymentMethod[MethodName],0)),"")</f>
        <v/>
      </c>
      <c r="K49" s="40" t="n">
        <v>15.49</v>
      </c>
      <c r="L49" s="38" t="inlineStr">
        <is>
          <t>Want</t>
        </is>
      </c>
      <c r="M49" s="38" t="inlineStr">
        <is>
          <t>Yes</t>
        </is>
      </c>
      <c r="N49" s="38" t="inlineStr">
        <is>
          <t>Streaming subscription</t>
        </is>
      </c>
      <c r="O49" s="40">
        <f>IF(AND($B49&gt;=CurMonthStart,$B49&lt;=CurMonthEnd),$K49,0)</f>
        <v/>
      </c>
    </row>
    <row r="50">
      <c r="A50" s="38">
        <f>ROW()-5</f>
        <v/>
      </c>
      <c r="B50" s="39" t="n">
        <v>45942</v>
      </c>
      <c r="C50" s="38" t="inlineStr">
        <is>
          <t>AMC Theatres</t>
        </is>
      </c>
      <c r="D50" s="38">
        <f>IFERROR(INDEX(Dim_Vendor[VendorID],MATCH($C50,Dim_Vendor[VendorName],0)),"")</f>
        <v/>
      </c>
      <c r="E50" s="38" t="inlineStr">
        <is>
          <t>Dining &amp; Entertainment</t>
        </is>
      </c>
      <c r="F50" s="38">
        <f>IFERROR(INDEX(Dim_Category[CategoryID],MATCH($E50,Dim_Category[CategoryName],0)),"")</f>
        <v/>
      </c>
      <c r="G50" s="38" t="inlineStr">
        <is>
          <t>Credit Card</t>
        </is>
      </c>
      <c r="H50" s="38">
        <f>IFERROR(INDEX(Dim_Account[AccountID],MATCH($G50,Dim_Account[AccountName],0)),"")</f>
        <v/>
      </c>
      <c r="I50" s="38" t="inlineStr">
        <is>
          <t>Credit Card</t>
        </is>
      </c>
      <c r="J50" s="38">
        <f>IFERROR(INDEX(Dim_PaymentMethod[PaymentMethodID],MATCH($I50,Dim_PaymentMethod[MethodName],0)),"")</f>
        <v/>
      </c>
      <c r="K50" s="40" t="n">
        <v>33.85</v>
      </c>
      <c r="L50" s="38" t="inlineStr">
        <is>
          <t>Want</t>
        </is>
      </c>
      <c r="M50" s="38" t="inlineStr">
        <is>
          <t>No</t>
        </is>
      </c>
      <c r="N50" s="38" t="inlineStr"/>
      <c r="O50" s="40">
        <f>IF(AND($B50&gt;=CurMonthStart,$B50&lt;=CurMonthEnd),$K50,0)</f>
        <v/>
      </c>
    </row>
    <row r="51">
      <c r="A51" s="38">
        <f>ROW()-5</f>
        <v/>
      </c>
      <c r="B51" s="39" t="n">
        <v>45945</v>
      </c>
      <c r="C51" s="38" t="inlineStr">
        <is>
          <t>Planet Fitness</t>
        </is>
      </c>
      <c r="D51" s="38">
        <f>IFERROR(INDEX(Dim_Vendor[VendorID],MATCH($C51,Dim_Vendor[VendorName],0)),"")</f>
        <v/>
      </c>
      <c r="E51" s="38" t="inlineStr">
        <is>
          <t>Personal Care</t>
        </is>
      </c>
      <c r="F51" s="38">
        <f>IFERROR(INDEX(Dim_Category[CategoryID],MATCH($E51,Dim_Category[CategoryName],0)),"")</f>
        <v/>
      </c>
      <c r="G51" s="38" t="inlineStr">
        <is>
          <t>Checking</t>
        </is>
      </c>
      <c r="H51" s="38">
        <f>IFERROR(INDEX(Dim_Account[AccountID],MATCH($G51,Dim_Account[AccountName],0)),"")</f>
        <v/>
      </c>
      <c r="I51" s="38" t="inlineStr">
        <is>
          <t>ACH</t>
        </is>
      </c>
      <c r="J51" s="38">
        <f>IFERROR(INDEX(Dim_PaymentMethod[PaymentMethodID],MATCH($I51,Dim_PaymentMethod[MethodName],0)),"")</f>
        <v/>
      </c>
      <c r="K51" s="40" t="n">
        <v>25.3</v>
      </c>
      <c r="L51" s="38" t="inlineStr">
        <is>
          <t>Want</t>
        </is>
      </c>
      <c r="M51" s="38" t="inlineStr">
        <is>
          <t>Yes</t>
        </is>
      </c>
      <c r="N51" s="38" t="inlineStr">
        <is>
          <t>Gym membership</t>
        </is>
      </c>
      <c r="O51" s="40">
        <f>IF(AND($B51&gt;=CurMonthStart,$B51&lt;=CurMonthEnd),$K51,0)</f>
        <v/>
      </c>
    </row>
    <row r="52">
      <c r="A52" s="38">
        <f>ROW()-5</f>
        <v/>
      </c>
      <c r="B52" s="39" t="n">
        <v>45948</v>
      </c>
      <c r="C52" s="38" t="inlineStr">
        <is>
          <t>Amazon</t>
        </is>
      </c>
      <c r="D52" s="38">
        <f>IFERROR(INDEX(Dim_Vendor[VendorID],MATCH($C52,Dim_Vendor[VendorName],0)),"")</f>
        <v/>
      </c>
      <c r="E52" s="38" t="inlineStr">
        <is>
          <t>Shopping</t>
        </is>
      </c>
      <c r="F52" s="38">
        <f>IFERROR(INDEX(Dim_Category[CategoryID],MATCH($E52,Dim_Category[CategoryName],0)),"")</f>
        <v/>
      </c>
      <c r="G52" s="38" t="inlineStr">
        <is>
          <t>Credit Card</t>
        </is>
      </c>
      <c r="H52" s="38">
        <f>IFERROR(INDEX(Dim_Account[AccountID],MATCH($G52,Dim_Account[AccountName],0)),"")</f>
        <v/>
      </c>
      <c r="I52" s="38" t="inlineStr">
        <is>
          <t>Credit Card</t>
        </is>
      </c>
      <c r="J52" s="38">
        <f>IFERROR(INDEX(Dim_PaymentMethod[PaymentMethodID],MATCH($I52,Dim_PaymentMethod[MethodName],0)),"")</f>
        <v/>
      </c>
      <c r="K52" s="40" t="n">
        <v>70.70999999999999</v>
      </c>
      <c r="L52" s="38" t="inlineStr">
        <is>
          <t>Want</t>
        </is>
      </c>
      <c r="M52" s="38" t="inlineStr">
        <is>
          <t>No</t>
        </is>
      </c>
      <c r="N52" s="38" t="inlineStr"/>
      <c r="O52" s="40">
        <f>IF(AND($B52&gt;=CurMonthStart,$B52&lt;=CurMonthEnd),$K52,0)</f>
        <v/>
      </c>
    </row>
    <row r="53">
      <c r="A53" s="38">
        <f>ROW()-5</f>
        <v/>
      </c>
      <c r="B53" s="39" t="n">
        <v>45951</v>
      </c>
      <c r="C53" s="38" t="inlineStr">
        <is>
          <t>Target</t>
        </is>
      </c>
      <c r="D53" s="38">
        <f>IFERROR(INDEX(Dim_Vendor[VendorID],MATCH($C53,Dim_Vendor[VendorName],0)),"")</f>
        <v/>
      </c>
      <c r="E53" s="38" t="inlineStr">
        <is>
          <t>Shopping</t>
        </is>
      </c>
      <c r="F53" s="38">
        <f>IFERROR(INDEX(Dim_Category[CategoryID],MATCH($E53,Dim_Category[CategoryName],0)),"")</f>
        <v/>
      </c>
      <c r="G53" s="38" t="inlineStr">
        <is>
          <t>Credit Card</t>
        </is>
      </c>
      <c r="H53" s="38">
        <f>IFERROR(INDEX(Dim_Account[AccountID],MATCH($G53,Dim_Account[AccountName],0)),"")</f>
        <v/>
      </c>
      <c r="I53" s="38" t="inlineStr">
        <is>
          <t>Credit Card</t>
        </is>
      </c>
      <c r="J53" s="38">
        <f>IFERROR(INDEX(Dim_PaymentMethod[PaymentMethodID],MATCH($I53,Dim_PaymentMethod[MethodName],0)),"")</f>
        <v/>
      </c>
      <c r="K53" s="40" t="n">
        <v>50.37</v>
      </c>
      <c r="L53" s="38" t="inlineStr">
        <is>
          <t>Want</t>
        </is>
      </c>
      <c r="M53" s="38" t="inlineStr">
        <is>
          <t>No</t>
        </is>
      </c>
      <c r="N53" s="38" t="inlineStr"/>
      <c r="O53" s="40">
        <f>IF(AND($B53&gt;=CurMonthStart,$B53&lt;=CurMonthEnd),$K53,0)</f>
        <v/>
      </c>
    </row>
    <row r="54">
      <c r="A54" s="38">
        <f>ROW()-5</f>
        <v/>
      </c>
      <c r="B54" s="39" t="n">
        <v>45964</v>
      </c>
      <c r="C54" s="38" t="inlineStr">
        <is>
          <t>Mortgage Lender</t>
        </is>
      </c>
      <c r="D54" s="38">
        <f>IFERROR(INDEX(Dim_Vendor[VendorID],MATCH($C54,Dim_Vendor[VendorName],0)),"")</f>
        <v/>
      </c>
      <c r="E54" s="38" t="inlineStr">
        <is>
          <t>Mortgage</t>
        </is>
      </c>
      <c r="F54" s="38">
        <f>IFERROR(INDEX(Dim_Category[CategoryID],MATCH($E54,Dim_Category[CategoryName],0)),"")</f>
        <v/>
      </c>
      <c r="G54" s="38" t="inlineStr">
        <is>
          <t>Checking</t>
        </is>
      </c>
      <c r="H54" s="38">
        <f>IFERROR(INDEX(Dim_Account[AccountID],MATCH($G54,Dim_Account[AccountName],0)),"")</f>
        <v/>
      </c>
      <c r="I54" s="38" t="inlineStr">
        <is>
          <t>ACH</t>
        </is>
      </c>
      <c r="J54" s="38">
        <f>IFERROR(INDEX(Dim_PaymentMethod[PaymentMethodID],MATCH($I54,Dim_PaymentMethod[MethodName],0)),"")</f>
        <v/>
      </c>
      <c r="K54" s="40" t="n">
        <v>2056.4</v>
      </c>
      <c r="L54" s="38" t="inlineStr">
        <is>
          <t>Need</t>
        </is>
      </c>
      <c r="M54" s="38" t="inlineStr">
        <is>
          <t>Yes</t>
        </is>
      </c>
      <c r="N54" s="38" t="inlineStr">
        <is>
          <t>Monthly mortgage payment</t>
        </is>
      </c>
      <c r="O54" s="40">
        <f>IF(AND($B54&gt;=CurMonthStart,$B54&lt;=CurMonthEnd),$K54,0)</f>
        <v/>
      </c>
    </row>
    <row r="55">
      <c r="A55" s="38">
        <f>ROW()-5</f>
        <v/>
      </c>
      <c r="B55" s="39" t="n">
        <v>45967</v>
      </c>
      <c r="C55" s="38" t="inlineStr">
        <is>
          <t>Whole Foods</t>
        </is>
      </c>
      <c r="D55" s="38">
        <f>IFERROR(INDEX(Dim_Vendor[VendorID],MATCH($C55,Dim_Vendor[VendorName],0)),"")</f>
        <v/>
      </c>
      <c r="E55" s="38" t="inlineStr">
        <is>
          <t>Groceries</t>
        </is>
      </c>
      <c r="F55" s="38">
        <f>IFERROR(INDEX(Dim_Category[CategoryID],MATCH($E55,Dim_Category[CategoryName],0)),"")</f>
        <v/>
      </c>
      <c r="G55" s="38" t="inlineStr">
        <is>
          <t>Credit Card</t>
        </is>
      </c>
      <c r="H55" s="38">
        <f>IFERROR(INDEX(Dim_Account[AccountID],MATCH($G55,Dim_Account[AccountName],0)),"")</f>
        <v/>
      </c>
      <c r="I55" s="38" t="inlineStr">
        <is>
          <t>Credit Card</t>
        </is>
      </c>
      <c r="J55" s="38">
        <f>IFERROR(INDEX(Dim_PaymentMethod[PaymentMethodID],MATCH($I55,Dim_PaymentMethod[MethodName],0)),"")</f>
        <v/>
      </c>
      <c r="K55" s="40" t="n">
        <v>180.14</v>
      </c>
      <c r="L55" s="38" t="inlineStr">
        <is>
          <t>Need</t>
        </is>
      </c>
      <c r="M55" s="38" t="inlineStr">
        <is>
          <t>No</t>
        </is>
      </c>
      <c r="N55" s="38" t="inlineStr"/>
      <c r="O55" s="40">
        <f>IF(AND($B55&gt;=CurMonthStart,$B55&lt;=CurMonthEnd),$K55,0)</f>
        <v/>
      </c>
    </row>
    <row r="56">
      <c r="A56" s="38">
        <f>ROW()-5</f>
        <v/>
      </c>
      <c r="B56" s="39" t="n">
        <v>45970</v>
      </c>
      <c r="C56" s="38" t="inlineStr">
        <is>
          <t>Costco</t>
        </is>
      </c>
      <c r="D56" s="38">
        <f>IFERROR(INDEX(Dim_Vendor[VendorID],MATCH($C56,Dim_Vendor[VendorName],0)),"")</f>
        <v/>
      </c>
      <c r="E56" s="38" t="inlineStr">
        <is>
          <t>Groceries</t>
        </is>
      </c>
      <c r="F56" s="38">
        <f>IFERROR(INDEX(Dim_Category[CategoryID],MATCH($E56,Dim_Category[CategoryName],0)),"")</f>
        <v/>
      </c>
      <c r="G56" s="38" t="inlineStr">
        <is>
          <t>Credit Card</t>
        </is>
      </c>
      <c r="H56" s="38">
        <f>IFERROR(INDEX(Dim_Account[AccountID],MATCH($G56,Dim_Account[AccountName],0)),"")</f>
        <v/>
      </c>
      <c r="I56" s="38" t="inlineStr">
        <is>
          <t>Credit Card</t>
        </is>
      </c>
      <c r="J56" s="38">
        <f>IFERROR(INDEX(Dim_PaymentMethod[PaymentMethodID],MATCH($I56,Dim_PaymentMethod[MethodName],0)),"")</f>
        <v/>
      </c>
      <c r="K56" s="40" t="n">
        <v>228.62</v>
      </c>
      <c r="L56" s="38" t="inlineStr">
        <is>
          <t>Need</t>
        </is>
      </c>
      <c r="M56" s="38" t="inlineStr">
        <is>
          <t>No</t>
        </is>
      </c>
      <c r="N56" s="38" t="inlineStr">
        <is>
          <t>Bulk groceries</t>
        </is>
      </c>
      <c r="O56" s="40">
        <f>IF(AND($B56&gt;=CurMonthStart,$B56&lt;=CurMonthEnd),$K56,0)</f>
        <v/>
      </c>
    </row>
    <row r="57">
      <c r="A57" s="38">
        <f>ROW()-5</f>
        <v/>
      </c>
      <c r="B57" s="39" t="n">
        <v>45973</v>
      </c>
      <c r="C57" s="38" t="inlineStr">
        <is>
          <t>Shell Gas Station</t>
        </is>
      </c>
      <c r="D57" s="38">
        <f>IFERROR(INDEX(Dim_Vendor[VendorID],MATCH($C57,Dim_Vendor[VendorName],0)),"")</f>
        <v/>
      </c>
      <c r="E57" s="38" t="inlineStr">
        <is>
          <t>Car</t>
        </is>
      </c>
      <c r="F57" s="38">
        <f>IFERROR(INDEX(Dim_Category[CategoryID],MATCH($E57,Dim_Category[CategoryName],0)),"")</f>
        <v/>
      </c>
      <c r="G57" s="38" t="inlineStr">
        <is>
          <t>Credit Card</t>
        </is>
      </c>
      <c r="H57" s="38">
        <f>IFERROR(INDEX(Dim_Account[AccountID],MATCH($G57,Dim_Account[AccountName],0)),"")</f>
        <v/>
      </c>
      <c r="I57" s="38" t="inlineStr">
        <is>
          <t>Credit Card</t>
        </is>
      </c>
      <c r="J57" s="38">
        <f>IFERROR(INDEX(Dim_PaymentMethod[PaymentMethodID],MATCH($I57,Dim_PaymentMethod[MethodName],0)),"")</f>
        <v/>
      </c>
      <c r="K57" s="40" t="n">
        <v>50.06</v>
      </c>
      <c r="L57" s="38" t="inlineStr">
        <is>
          <t>Need</t>
        </is>
      </c>
      <c r="M57" s="38" t="inlineStr">
        <is>
          <t>No</t>
        </is>
      </c>
      <c r="N57" s="38" t="inlineStr">
        <is>
          <t>Gas</t>
        </is>
      </c>
      <c r="O57" s="40">
        <f>IF(AND($B57&gt;=CurMonthStart,$B57&lt;=CurMonthEnd),$K57,0)</f>
        <v/>
      </c>
    </row>
    <row r="58">
      <c r="A58" s="38">
        <f>ROW()-5</f>
        <v/>
      </c>
      <c r="B58" s="39" t="n">
        <v>45976</v>
      </c>
      <c r="C58" s="38" t="inlineStr">
        <is>
          <t>AutoZone</t>
        </is>
      </c>
      <c r="D58" s="38">
        <f>IFERROR(INDEX(Dim_Vendor[VendorID],MATCH($C58,Dim_Vendor[VendorName],0)),"")</f>
        <v/>
      </c>
      <c r="E58" s="38" t="inlineStr">
        <is>
          <t>Car</t>
        </is>
      </c>
      <c r="F58" s="38">
        <f>IFERROR(INDEX(Dim_Category[CategoryID],MATCH($E58,Dim_Category[CategoryName],0)),"")</f>
        <v/>
      </c>
      <c r="G58" s="38" t="inlineStr">
        <is>
          <t>Credit Card</t>
        </is>
      </c>
      <c r="H58" s="38">
        <f>IFERROR(INDEX(Dim_Account[AccountID],MATCH($G58,Dim_Account[AccountName],0)),"")</f>
        <v/>
      </c>
      <c r="I58" s="38" t="inlineStr">
        <is>
          <t>Credit Card</t>
        </is>
      </c>
      <c r="J58" s="38">
        <f>IFERROR(INDEX(Dim_PaymentMethod[PaymentMethodID],MATCH($I58,Dim_PaymentMethod[MethodName],0)),"")</f>
        <v/>
      </c>
      <c r="K58" s="40" t="n">
        <v>36.28</v>
      </c>
      <c r="L58" s="38" t="inlineStr">
        <is>
          <t>Need</t>
        </is>
      </c>
      <c r="M58" s="38" t="inlineStr">
        <is>
          <t>No</t>
        </is>
      </c>
      <c r="N58" s="38" t="inlineStr">
        <is>
          <t>Wiper blades / oil</t>
        </is>
      </c>
      <c r="O58" s="40">
        <f>IF(AND($B58&gt;=CurMonthStart,$B58&lt;=CurMonthEnd),$K58,0)</f>
        <v/>
      </c>
    </row>
    <row r="59">
      <c r="A59" s="38">
        <f>ROW()-5</f>
        <v/>
      </c>
      <c r="B59" s="39" t="n">
        <v>45979</v>
      </c>
      <c r="C59" s="38" t="inlineStr">
        <is>
          <t>City Electric Co</t>
        </is>
      </c>
      <c r="D59" s="38">
        <f>IFERROR(INDEX(Dim_Vendor[VendorID],MATCH($C59,Dim_Vendor[VendorName],0)),"")</f>
        <v/>
      </c>
      <c r="E59" s="38" t="inlineStr">
        <is>
          <t>Utilities</t>
        </is>
      </c>
      <c r="F59" s="38">
        <f>IFERROR(INDEX(Dim_Category[CategoryID],MATCH($E59,Dim_Category[CategoryName],0)),"")</f>
        <v/>
      </c>
      <c r="G59" s="38" t="inlineStr">
        <is>
          <t>Checking</t>
        </is>
      </c>
      <c r="H59" s="38">
        <f>IFERROR(INDEX(Dim_Account[AccountID],MATCH($G59,Dim_Account[AccountName],0)),"")</f>
        <v/>
      </c>
      <c r="I59" s="38" t="inlineStr">
        <is>
          <t>ACH</t>
        </is>
      </c>
      <c r="J59" s="38">
        <f>IFERROR(INDEX(Dim_PaymentMethod[PaymentMethodID],MATCH($I59,Dim_PaymentMethod[MethodName],0)),"")</f>
        <v/>
      </c>
      <c r="K59" s="40" t="n">
        <v>124.03</v>
      </c>
      <c r="L59" s="38" t="inlineStr">
        <is>
          <t>Need</t>
        </is>
      </c>
      <c r="M59" s="38" t="inlineStr">
        <is>
          <t>Yes</t>
        </is>
      </c>
      <c r="N59" s="38" t="inlineStr"/>
      <c r="O59" s="40">
        <f>IF(AND($B59&gt;=CurMonthStart,$B59&lt;=CurMonthEnd),$K59,0)</f>
        <v/>
      </c>
    </row>
    <row r="60">
      <c r="A60" s="38">
        <f>ROW()-5</f>
        <v/>
      </c>
      <c r="B60" s="39" t="n">
        <v>45982</v>
      </c>
      <c r="C60" s="38" t="inlineStr">
        <is>
          <t>Comcast Xfinity</t>
        </is>
      </c>
      <c r="D60" s="38">
        <f>IFERROR(INDEX(Dim_Vendor[VendorID],MATCH($C60,Dim_Vendor[VendorName],0)),"")</f>
        <v/>
      </c>
      <c r="E60" s="38" t="inlineStr">
        <is>
          <t>Utilities</t>
        </is>
      </c>
      <c r="F60" s="38">
        <f>IFERROR(INDEX(Dim_Category[CategoryID],MATCH($E60,Dim_Category[CategoryName],0)),"")</f>
        <v/>
      </c>
      <c r="G60" s="38" t="inlineStr">
        <is>
          <t>Checking</t>
        </is>
      </c>
      <c r="H60" s="38">
        <f>IFERROR(INDEX(Dim_Account[AccountID],MATCH($G60,Dim_Account[AccountName],0)),"")</f>
        <v/>
      </c>
      <c r="I60" s="38" t="inlineStr">
        <is>
          <t>ACH</t>
        </is>
      </c>
      <c r="J60" s="38">
        <f>IFERROR(INDEX(Dim_PaymentMethod[PaymentMethodID],MATCH($I60,Dim_PaymentMethod[MethodName],0)),"")</f>
        <v/>
      </c>
      <c r="K60" s="40" t="n">
        <v>81.73</v>
      </c>
      <c r="L60" s="38" t="inlineStr">
        <is>
          <t>Need</t>
        </is>
      </c>
      <c r="M60" s="38" t="inlineStr">
        <is>
          <t>Yes</t>
        </is>
      </c>
      <c r="N60" s="38" t="inlineStr">
        <is>
          <t>Internet</t>
        </is>
      </c>
      <c r="O60" s="40">
        <f>IF(AND($B60&gt;=CurMonthStart,$B60&lt;=CurMonthEnd),$K60,0)</f>
        <v/>
      </c>
    </row>
    <row r="61">
      <c r="A61" s="38">
        <f>ROW()-5</f>
        <v/>
      </c>
      <c r="B61" s="39" t="n">
        <v>45985</v>
      </c>
      <c r="C61" s="38" t="inlineStr">
        <is>
          <t>Verizon Wireless</t>
        </is>
      </c>
      <c r="D61" s="38">
        <f>IFERROR(INDEX(Dim_Vendor[VendorID],MATCH($C61,Dim_Vendor[VendorName],0)),"")</f>
        <v/>
      </c>
      <c r="E61" s="38" t="inlineStr">
        <is>
          <t>Utilities</t>
        </is>
      </c>
      <c r="F61" s="38">
        <f>IFERROR(INDEX(Dim_Category[CategoryID],MATCH($E61,Dim_Category[CategoryName],0)),"")</f>
        <v/>
      </c>
      <c r="G61" s="38" t="inlineStr">
        <is>
          <t>Checking</t>
        </is>
      </c>
      <c r="H61" s="38">
        <f>IFERROR(INDEX(Dim_Account[AccountID],MATCH($G61,Dim_Account[AccountName],0)),"")</f>
        <v/>
      </c>
      <c r="I61" s="38" t="inlineStr">
        <is>
          <t>ACH</t>
        </is>
      </c>
      <c r="J61" s="38">
        <f>IFERROR(INDEX(Dim_PaymentMethod[PaymentMethodID],MATCH($I61,Dim_PaymentMethod[MethodName],0)),"")</f>
        <v/>
      </c>
      <c r="K61" s="40" t="n">
        <v>92.95</v>
      </c>
      <c r="L61" s="38" t="inlineStr">
        <is>
          <t>Need</t>
        </is>
      </c>
      <c r="M61" s="38" t="inlineStr">
        <is>
          <t>Yes</t>
        </is>
      </c>
      <c r="N61" s="38" t="inlineStr">
        <is>
          <t>Mobile phone</t>
        </is>
      </c>
      <c r="O61" s="40">
        <f>IF(AND($B61&gt;=CurMonthStart,$B61&lt;=CurMonthEnd),$K61,0)</f>
        <v/>
      </c>
    </row>
    <row r="62">
      <c r="A62" s="38">
        <f>ROW()-5</f>
        <v/>
      </c>
      <c r="B62" s="39" t="n">
        <v>45988</v>
      </c>
      <c r="C62" s="38" t="inlineStr">
        <is>
          <t>State Farm Insurance</t>
        </is>
      </c>
      <c r="D62" s="38">
        <f>IFERROR(INDEX(Dim_Vendor[VendorID],MATCH($C62,Dim_Vendor[VendorName],0)),"")</f>
        <v/>
      </c>
      <c r="E62" s="38" t="inlineStr">
        <is>
          <t>Insurance</t>
        </is>
      </c>
      <c r="F62" s="38">
        <f>IFERROR(INDEX(Dim_Category[CategoryID],MATCH($E62,Dim_Category[CategoryName],0)),"")</f>
        <v/>
      </c>
      <c r="G62" s="38" t="inlineStr">
        <is>
          <t>Checking</t>
        </is>
      </c>
      <c r="H62" s="38">
        <f>IFERROR(INDEX(Dim_Account[AccountID],MATCH($G62,Dim_Account[AccountName],0)),"")</f>
        <v/>
      </c>
      <c r="I62" s="38" t="inlineStr">
        <is>
          <t>ACH</t>
        </is>
      </c>
      <c r="J62" s="38">
        <f>IFERROR(INDEX(Dim_PaymentMethod[PaymentMethodID],MATCH($I62,Dim_PaymentMethod[MethodName],0)),"")</f>
        <v/>
      </c>
      <c r="K62" s="40" t="n">
        <v>139.05</v>
      </c>
      <c r="L62" s="38" t="inlineStr">
        <is>
          <t>Need</t>
        </is>
      </c>
      <c r="M62" s="38" t="inlineStr">
        <is>
          <t>Yes</t>
        </is>
      </c>
      <c r="N62" s="38" t="inlineStr">
        <is>
          <t>Auto + home insurance</t>
        </is>
      </c>
      <c r="O62" s="40">
        <f>IF(AND($B62&gt;=CurMonthStart,$B62&lt;=CurMonthEnd),$K62,0)</f>
        <v/>
      </c>
    </row>
    <row r="63">
      <c r="A63" s="38">
        <f>ROW()-5</f>
        <v/>
      </c>
      <c r="B63" s="39" t="n">
        <v>45964</v>
      </c>
      <c r="C63" s="38" t="inlineStr">
        <is>
          <t>Kaiser Permanente</t>
        </is>
      </c>
      <c r="D63" s="38">
        <f>IFERROR(INDEX(Dim_Vendor[VendorID],MATCH($C63,Dim_Vendor[VendorName],0)),"")</f>
        <v/>
      </c>
      <c r="E63" s="38" t="inlineStr">
        <is>
          <t>Healthcare</t>
        </is>
      </c>
      <c r="F63" s="38">
        <f>IFERROR(INDEX(Dim_Category[CategoryID],MATCH($E63,Dim_Category[CategoryName],0)),"")</f>
        <v/>
      </c>
      <c r="G63" s="38" t="inlineStr">
        <is>
          <t>Credit Card</t>
        </is>
      </c>
      <c r="H63" s="38">
        <f>IFERROR(INDEX(Dim_Account[AccountID],MATCH($G63,Dim_Account[AccountName],0)),"")</f>
        <v/>
      </c>
      <c r="I63" s="38" t="inlineStr">
        <is>
          <t>Credit Card</t>
        </is>
      </c>
      <c r="J63" s="38">
        <f>IFERROR(INDEX(Dim_PaymentMethod[PaymentMethodID],MATCH($I63,Dim_PaymentMethod[MethodName],0)),"")</f>
        <v/>
      </c>
      <c r="K63" s="40" t="n">
        <v>42.91</v>
      </c>
      <c r="L63" s="38" t="inlineStr">
        <is>
          <t>Need</t>
        </is>
      </c>
      <c r="M63" s="38" t="inlineStr">
        <is>
          <t>No</t>
        </is>
      </c>
      <c r="N63" s="38" t="inlineStr">
        <is>
          <t>Copay</t>
        </is>
      </c>
      <c r="O63" s="40">
        <f>IF(AND($B63&gt;=CurMonthStart,$B63&lt;=CurMonthEnd),$K63,0)</f>
        <v/>
      </c>
    </row>
    <row r="64">
      <c r="A64" s="38">
        <f>ROW()-5</f>
        <v/>
      </c>
      <c r="B64" s="39" t="n">
        <v>45967</v>
      </c>
      <c r="C64" s="38" t="inlineStr">
        <is>
          <t>Chipotle</t>
        </is>
      </c>
      <c r="D64" s="38">
        <f>IFERROR(INDEX(Dim_Vendor[VendorID],MATCH($C64,Dim_Vendor[VendorName],0)),"")</f>
        <v/>
      </c>
      <c r="E64" s="38" t="inlineStr">
        <is>
          <t>Dining &amp; Entertainment</t>
        </is>
      </c>
      <c r="F64" s="38">
        <f>IFERROR(INDEX(Dim_Category[CategoryID],MATCH($E64,Dim_Category[CategoryName],0)),"")</f>
        <v/>
      </c>
      <c r="G64" s="38" t="inlineStr">
        <is>
          <t>Credit Card</t>
        </is>
      </c>
      <c r="H64" s="38">
        <f>IFERROR(INDEX(Dim_Account[AccountID],MATCH($G64,Dim_Account[AccountName],0)),"")</f>
        <v/>
      </c>
      <c r="I64" s="38" t="inlineStr">
        <is>
          <t>Credit Card</t>
        </is>
      </c>
      <c r="J64" s="38">
        <f>IFERROR(INDEX(Dim_PaymentMethod[PaymentMethodID],MATCH($I64,Dim_PaymentMethod[MethodName],0)),"")</f>
        <v/>
      </c>
      <c r="K64" s="40" t="n">
        <v>14.25</v>
      </c>
      <c r="L64" s="38" t="inlineStr">
        <is>
          <t>Want</t>
        </is>
      </c>
      <c r="M64" s="38" t="inlineStr">
        <is>
          <t>No</t>
        </is>
      </c>
      <c r="N64" s="38" t="inlineStr"/>
      <c r="O64" s="40">
        <f>IF(AND($B64&gt;=CurMonthStart,$B64&lt;=CurMonthEnd),$K64,0)</f>
        <v/>
      </c>
    </row>
    <row r="65">
      <c r="A65" s="38">
        <f>ROW()-5</f>
        <v/>
      </c>
      <c r="B65" s="39" t="n">
        <v>45970</v>
      </c>
      <c r="C65" s="38" t="inlineStr">
        <is>
          <t>Netflix</t>
        </is>
      </c>
      <c r="D65" s="38">
        <f>IFERROR(INDEX(Dim_Vendor[VendorID],MATCH($C65,Dim_Vendor[VendorName],0)),"")</f>
        <v/>
      </c>
      <c r="E65" s="38" t="inlineStr">
        <is>
          <t>Dining &amp; Entertainment</t>
        </is>
      </c>
      <c r="F65" s="38">
        <f>IFERROR(INDEX(Dim_Category[CategoryID],MATCH($E65,Dim_Category[CategoryName],0)),"")</f>
        <v/>
      </c>
      <c r="G65" s="38" t="inlineStr">
        <is>
          <t>Credit Card</t>
        </is>
      </c>
      <c r="H65" s="38">
        <f>IFERROR(INDEX(Dim_Account[AccountID],MATCH($G65,Dim_Account[AccountName],0)),"")</f>
        <v/>
      </c>
      <c r="I65" s="38" t="inlineStr">
        <is>
          <t>Credit Card</t>
        </is>
      </c>
      <c r="J65" s="38">
        <f>IFERROR(INDEX(Dim_PaymentMethod[PaymentMethodID],MATCH($I65,Dim_PaymentMethod[MethodName],0)),"")</f>
        <v/>
      </c>
      <c r="K65" s="40" t="n">
        <v>15.49</v>
      </c>
      <c r="L65" s="38" t="inlineStr">
        <is>
          <t>Want</t>
        </is>
      </c>
      <c r="M65" s="38" t="inlineStr">
        <is>
          <t>Yes</t>
        </is>
      </c>
      <c r="N65" s="38" t="inlineStr">
        <is>
          <t>Streaming subscription</t>
        </is>
      </c>
      <c r="O65" s="40">
        <f>IF(AND($B65&gt;=CurMonthStart,$B65&lt;=CurMonthEnd),$K65,0)</f>
        <v/>
      </c>
    </row>
    <row r="66">
      <c r="A66" s="38">
        <f>ROW()-5</f>
        <v/>
      </c>
      <c r="B66" s="39" t="n">
        <v>45973</v>
      </c>
      <c r="C66" s="38" t="inlineStr">
        <is>
          <t>AMC Theatres</t>
        </is>
      </c>
      <c r="D66" s="38">
        <f>IFERROR(INDEX(Dim_Vendor[VendorID],MATCH($C66,Dim_Vendor[VendorName],0)),"")</f>
        <v/>
      </c>
      <c r="E66" s="38" t="inlineStr">
        <is>
          <t>Dining &amp; Entertainment</t>
        </is>
      </c>
      <c r="F66" s="38">
        <f>IFERROR(INDEX(Dim_Category[CategoryID],MATCH($E66,Dim_Category[CategoryName],0)),"")</f>
        <v/>
      </c>
      <c r="G66" s="38" t="inlineStr">
        <is>
          <t>Credit Card</t>
        </is>
      </c>
      <c r="H66" s="38">
        <f>IFERROR(INDEX(Dim_Account[AccountID],MATCH($G66,Dim_Account[AccountName],0)),"")</f>
        <v/>
      </c>
      <c r="I66" s="38" t="inlineStr">
        <is>
          <t>Credit Card</t>
        </is>
      </c>
      <c r="J66" s="38">
        <f>IFERROR(INDEX(Dim_PaymentMethod[PaymentMethodID],MATCH($I66,Dim_PaymentMethod[MethodName],0)),"")</f>
        <v/>
      </c>
      <c r="K66" s="40" t="n">
        <v>30.81</v>
      </c>
      <c r="L66" s="38" t="inlineStr">
        <is>
          <t>Want</t>
        </is>
      </c>
      <c r="M66" s="38" t="inlineStr">
        <is>
          <t>No</t>
        </is>
      </c>
      <c r="N66" s="38" t="inlineStr"/>
      <c r="O66" s="40">
        <f>IF(AND($B66&gt;=CurMonthStart,$B66&lt;=CurMonthEnd),$K66,0)</f>
        <v/>
      </c>
    </row>
    <row r="67">
      <c r="A67" s="38">
        <f>ROW()-5</f>
        <v/>
      </c>
      <c r="B67" s="39" t="n">
        <v>45976</v>
      </c>
      <c r="C67" s="38" t="inlineStr">
        <is>
          <t>Planet Fitness</t>
        </is>
      </c>
      <c r="D67" s="38">
        <f>IFERROR(INDEX(Dim_Vendor[VendorID],MATCH($C67,Dim_Vendor[VendorName],0)),"")</f>
        <v/>
      </c>
      <c r="E67" s="38" t="inlineStr">
        <is>
          <t>Personal Care</t>
        </is>
      </c>
      <c r="F67" s="38">
        <f>IFERROR(INDEX(Dim_Category[CategoryID],MATCH($E67,Dim_Category[CategoryName],0)),"")</f>
        <v/>
      </c>
      <c r="G67" s="38" t="inlineStr">
        <is>
          <t>Checking</t>
        </is>
      </c>
      <c r="H67" s="38">
        <f>IFERROR(INDEX(Dim_Account[AccountID],MATCH($G67,Dim_Account[AccountName],0)),"")</f>
        <v/>
      </c>
      <c r="I67" s="38" t="inlineStr">
        <is>
          <t>ACH</t>
        </is>
      </c>
      <c r="J67" s="38">
        <f>IFERROR(INDEX(Dim_PaymentMethod[PaymentMethodID],MATCH($I67,Dim_PaymentMethod[MethodName],0)),"")</f>
        <v/>
      </c>
      <c r="K67" s="40" t="n">
        <v>26.74</v>
      </c>
      <c r="L67" s="38" t="inlineStr">
        <is>
          <t>Want</t>
        </is>
      </c>
      <c r="M67" s="38" t="inlineStr">
        <is>
          <t>Yes</t>
        </is>
      </c>
      <c r="N67" s="38" t="inlineStr">
        <is>
          <t>Gym membership</t>
        </is>
      </c>
      <c r="O67" s="40">
        <f>IF(AND($B67&gt;=CurMonthStart,$B67&lt;=CurMonthEnd),$K67,0)</f>
        <v/>
      </c>
    </row>
    <row r="68">
      <c r="A68" s="38">
        <f>ROW()-5</f>
        <v/>
      </c>
      <c r="B68" s="39" t="n">
        <v>45979</v>
      </c>
      <c r="C68" s="38" t="inlineStr">
        <is>
          <t>Amazon</t>
        </is>
      </c>
      <c r="D68" s="38">
        <f>IFERROR(INDEX(Dim_Vendor[VendorID],MATCH($C68,Dim_Vendor[VendorName],0)),"")</f>
        <v/>
      </c>
      <c r="E68" s="38" t="inlineStr">
        <is>
          <t>Shopping</t>
        </is>
      </c>
      <c r="F68" s="38">
        <f>IFERROR(INDEX(Dim_Category[CategoryID],MATCH($E68,Dim_Category[CategoryName],0)),"")</f>
        <v/>
      </c>
      <c r="G68" s="38" t="inlineStr">
        <is>
          <t>Credit Card</t>
        </is>
      </c>
      <c r="H68" s="38">
        <f>IFERROR(INDEX(Dim_Account[AccountID],MATCH($G68,Dim_Account[AccountName],0)),"")</f>
        <v/>
      </c>
      <c r="I68" s="38" t="inlineStr">
        <is>
          <t>Credit Card</t>
        </is>
      </c>
      <c r="J68" s="38">
        <f>IFERROR(INDEX(Dim_PaymentMethod[PaymentMethodID],MATCH($I68,Dim_PaymentMethod[MethodName],0)),"")</f>
        <v/>
      </c>
      <c r="K68" s="40" t="n">
        <v>70.09</v>
      </c>
      <c r="L68" s="38" t="inlineStr">
        <is>
          <t>Want</t>
        </is>
      </c>
      <c r="M68" s="38" t="inlineStr">
        <is>
          <t>No</t>
        </is>
      </c>
      <c r="N68" s="38" t="inlineStr"/>
      <c r="O68" s="40">
        <f>IF(AND($B68&gt;=CurMonthStart,$B68&lt;=CurMonthEnd),$K68,0)</f>
        <v/>
      </c>
    </row>
    <row r="69">
      <c r="A69" s="38">
        <f>ROW()-5</f>
        <v/>
      </c>
      <c r="B69" s="39" t="n">
        <v>45982</v>
      </c>
      <c r="C69" s="38" t="inlineStr">
        <is>
          <t>Target</t>
        </is>
      </c>
      <c r="D69" s="38">
        <f>IFERROR(INDEX(Dim_Vendor[VendorID],MATCH($C69,Dim_Vendor[VendorName],0)),"")</f>
        <v/>
      </c>
      <c r="E69" s="38" t="inlineStr">
        <is>
          <t>Shopping</t>
        </is>
      </c>
      <c r="F69" s="38">
        <f>IFERROR(INDEX(Dim_Category[CategoryID],MATCH($E69,Dim_Category[CategoryName],0)),"")</f>
        <v/>
      </c>
      <c r="G69" s="38" t="inlineStr">
        <is>
          <t>Credit Card</t>
        </is>
      </c>
      <c r="H69" s="38">
        <f>IFERROR(INDEX(Dim_Account[AccountID],MATCH($G69,Dim_Account[AccountName],0)),"")</f>
        <v/>
      </c>
      <c r="I69" s="38" t="inlineStr">
        <is>
          <t>Credit Card</t>
        </is>
      </c>
      <c r="J69" s="38">
        <f>IFERROR(INDEX(Dim_PaymentMethod[PaymentMethodID],MATCH($I69,Dim_PaymentMethod[MethodName],0)),"")</f>
        <v/>
      </c>
      <c r="K69" s="40" t="n">
        <v>55.27</v>
      </c>
      <c r="L69" s="38" t="inlineStr">
        <is>
          <t>Want</t>
        </is>
      </c>
      <c r="M69" s="38" t="inlineStr">
        <is>
          <t>No</t>
        </is>
      </c>
      <c r="N69" s="38" t="inlineStr"/>
      <c r="O69" s="40">
        <f>IF(AND($B69&gt;=CurMonthStart,$B69&lt;=CurMonthEnd),$K69,0)</f>
        <v/>
      </c>
    </row>
    <row r="70">
      <c r="A70" s="38">
        <f>ROW()-5</f>
        <v/>
      </c>
      <c r="B70" s="39" t="n">
        <v>45994</v>
      </c>
      <c r="C70" s="38" t="inlineStr">
        <is>
          <t>Mortgage Lender</t>
        </is>
      </c>
      <c r="D70" s="38">
        <f>IFERROR(INDEX(Dim_Vendor[VendorID],MATCH($C70,Dim_Vendor[VendorName],0)),"")</f>
        <v/>
      </c>
      <c r="E70" s="38" t="inlineStr">
        <is>
          <t>Mortgage</t>
        </is>
      </c>
      <c r="F70" s="38">
        <f>IFERROR(INDEX(Dim_Category[CategoryID],MATCH($E70,Dim_Category[CategoryName],0)),"")</f>
        <v/>
      </c>
      <c r="G70" s="38" t="inlineStr">
        <is>
          <t>Checking</t>
        </is>
      </c>
      <c r="H70" s="38">
        <f>IFERROR(INDEX(Dim_Account[AccountID],MATCH($G70,Dim_Account[AccountName],0)),"")</f>
        <v/>
      </c>
      <c r="I70" s="38" t="inlineStr">
        <is>
          <t>ACH</t>
        </is>
      </c>
      <c r="J70" s="38">
        <f>IFERROR(INDEX(Dim_PaymentMethod[PaymentMethodID],MATCH($I70,Dim_PaymentMethod[MethodName],0)),"")</f>
        <v/>
      </c>
      <c r="K70" s="40" t="n">
        <v>2036.87</v>
      </c>
      <c r="L70" s="38" t="inlineStr">
        <is>
          <t>Need</t>
        </is>
      </c>
      <c r="M70" s="38" t="inlineStr">
        <is>
          <t>Yes</t>
        </is>
      </c>
      <c r="N70" s="38" t="inlineStr">
        <is>
          <t>Monthly mortgage payment</t>
        </is>
      </c>
      <c r="O70" s="40">
        <f>IF(AND($B70&gt;=CurMonthStart,$B70&lt;=CurMonthEnd),$K70,0)</f>
        <v/>
      </c>
    </row>
    <row r="71">
      <c r="A71" s="38">
        <f>ROW()-5</f>
        <v/>
      </c>
      <c r="B71" s="39" t="n">
        <v>45997</v>
      </c>
      <c r="C71" s="38" t="inlineStr">
        <is>
          <t>Whole Foods</t>
        </is>
      </c>
      <c r="D71" s="38">
        <f>IFERROR(INDEX(Dim_Vendor[VendorID],MATCH($C71,Dim_Vendor[VendorName],0)),"")</f>
        <v/>
      </c>
      <c r="E71" s="38" t="inlineStr">
        <is>
          <t>Groceries</t>
        </is>
      </c>
      <c r="F71" s="38">
        <f>IFERROR(INDEX(Dim_Category[CategoryID],MATCH($E71,Dim_Category[CategoryName],0)),"")</f>
        <v/>
      </c>
      <c r="G71" s="38" t="inlineStr">
        <is>
          <t>Credit Card</t>
        </is>
      </c>
      <c r="H71" s="38">
        <f>IFERROR(INDEX(Dim_Account[AccountID],MATCH($G71,Dim_Account[AccountName],0)),"")</f>
        <v/>
      </c>
      <c r="I71" s="38" t="inlineStr">
        <is>
          <t>Credit Card</t>
        </is>
      </c>
      <c r="J71" s="38">
        <f>IFERROR(INDEX(Dim_PaymentMethod[PaymentMethodID],MATCH($I71,Dim_PaymentMethod[MethodName],0)),"")</f>
        <v/>
      </c>
      <c r="K71" s="40" t="n">
        <v>193.25</v>
      </c>
      <c r="L71" s="38" t="inlineStr">
        <is>
          <t>Need</t>
        </is>
      </c>
      <c r="M71" s="38" t="inlineStr">
        <is>
          <t>No</t>
        </is>
      </c>
      <c r="N71" s="38" t="inlineStr"/>
      <c r="O71" s="40">
        <f>IF(AND($B71&gt;=CurMonthStart,$B71&lt;=CurMonthEnd),$K71,0)</f>
        <v/>
      </c>
    </row>
    <row r="72">
      <c r="A72" s="38">
        <f>ROW()-5</f>
        <v/>
      </c>
      <c r="B72" s="39" t="n">
        <v>46000</v>
      </c>
      <c r="C72" s="38" t="inlineStr">
        <is>
          <t>Costco</t>
        </is>
      </c>
      <c r="D72" s="38">
        <f>IFERROR(INDEX(Dim_Vendor[VendorID],MATCH($C72,Dim_Vendor[VendorName],0)),"")</f>
        <v/>
      </c>
      <c r="E72" s="38" t="inlineStr">
        <is>
          <t>Groceries</t>
        </is>
      </c>
      <c r="F72" s="38">
        <f>IFERROR(INDEX(Dim_Category[CategoryID],MATCH($E72,Dim_Category[CategoryName],0)),"")</f>
        <v/>
      </c>
      <c r="G72" s="38" t="inlineStr">
        <is>
          <t>Credit Card</t>
        </is>
      </c>
      <c r="H72" s="38">
        <f>IFERROR(INDEX(Dim_Account[AccountID],MATCH($G72,Dim_Account[AccountName],0)),"")</f>
        <v/>
      </c>
      <c r="I72" s="38" t="inlineStr">
        <is>
          <t>Credit Card</t>
        </is>
      </c>
      <c r="J72" s="38">
        <f>IFERROR(INDEX(Dim_PaymentMethod[PaymentMethodID],MATCH($I72,Dim_PaymentMethod[MethodName],0)),"")</f>
        <v/>
      </c>
      <c r="K72" s="40" t="n">
        <v>231.9</v>
      </c>
      <c r="L72" s="38" t="inlineStr">
        <is>
          <t>Need</t>
        </is>
      </c>
      <c r="M72" s="38" t="inlineStr">
        <is>
          <t>No</t>
        </is>
      </c>
      <c r="N72" s="38" t="inlineStr">
        <is>
          <t>Bulk groceries</t>
        </is>
      </c>
      <c r="O72" s="40">
        <f>IF(AND($B72&gt;=CurMonthStart,$B72&lt;=CurMonthEnd),$K72,0)</f>
        <v/>
      </c>
    </row>
    <row r="73">
      <c r="A73" s="38">
        <f>ROW()-5</f>
        <v/>
      </c>
      <c r="B73" s="39" t="n">
        <v>46003</v>
      </c>
      <c r="C73" s="38" t="inlineStr">
        <is>
          <t>Shell Gas Station</t>
        </is>
      </c>
      <c r="D73" s="38">
        <f>IFERROR(INDEX(Dim_Vendor[VendorID],MATCH($C73,Dim_Vendor[VendorName],0)),"")</f>
        <v/>
      </c>
      <c r="E73" s="38" t="inlineStr">
        <is>
          <t>Car</t>
        </is>
      </c>
      <c r="F73" s="38">
        <f>IFERROR(INDEX(Dim_Category[CategoryID],MATCH($E73,Dim_Category[CategoryName],0)),"")</f>
        <v/>
      </c>
      <c r="G73" s="38" t="inlineStr">
        <is>
          <t>Credit Card</t>
        </is>
      </c>
      <c r="H73" s="38">
        <f>IFERROR(INDEX(Dim_Account[AccountID],MATCH($G73,Dim_Account[AccountName],0)),"")</f>
        <v/>
      </c>
      <c r="I73" s="38" t="inlineStr">
        <is>
          <t>Credit Card</t>
        </is>
      </c>
      <c r="J73" s="38">
        <f>IFERROR(INDEX(Dim_PaymentMethod[PaymentMethodID],MATCH($I73,Dim_PaymentMethod[MethodName],0)),"")</f>
        <v/>
      </c>
      <c r="K73" s="40" t="n">
        <v>51.29</v>
      </c>
      <c r="L73" s="38" t="inlineStr">
        <is>
          <t>Need</t>
        </is>
      </c>
      <c r="M73" s="38" t="inlineStr">
        <is>
          <t>No</t>
        </is>
      </c>
      <c r="N73" s="38" t="inlineStr">
        <is>
          <t>Gas</t>
        </is>
      </c>
      <c r="O73" s="40">
        <f>IF(AND($B73&gt;=CurMonthStart,$B73&lt;=CurMonthEnd),$K73,0)</f>
        <v/>
      </c>
    </row>
    <row r="74">
      <c r="A74" s="38">
        <f>ROW()-5</f>
        <v/>
      </c>
      <c r="B74" s="39" t="n">
        <v>46006</v>
      </c>
      <c r="C74" s="38" t="inlineStr">
        <is>
          <t>AutoZone</t>
        </is>
      </c>
      <c r="D74" s="38">
        <f>IFERROR(INDEX(Dim_Vendor[VendorID],MATCH($C74,Dim_Vendor[VendorName],0)),"")</f>
        <v/>
      </c>
      <c r="E74" s="38" t="inlineStr">
        <is>
          <t>Car</t>
        </is>
      </c>
      <c r="F74" s="38">
        <f>IFERROR(INDEX(Dim_Category[CategoryID],MATCH($E74,Dim_Category[CategoryName],0)),"")</f>
        <v/>
      </c>
      <c r="G74" s="38" t="inlineStr">
        <is>
          <t>Credit Card</t>
        </is>
      </c>
      <c r="H74" s="38">
        <f>IFERROR(INDEX(Dim_Account[AccountID],MATCH($G74,Dim_Account[AccountName],0)),"")</f>
        <v/>
      </c>
      <c r="I74" s="38" t="inlineStr">
        <is>
          <t>Credit Card</t>
        </is>
      </c>
      <c r="J74" s="38">
        <f>IFERROR(INDEX(Dim_PaymentMethod[PaymentMethodID],MATCH($I74,Dim_PaymentMethod[MethodName],0)),"")</f>
        <v/>
      </c>
      <c r="K74" s="40" t="n">
        <v>41.79</v>
      </c>
      <c r="L74" s="38" t="inlineStr">
        <is>
          <t>Need</t>
        </is>
      </c>
      <c r="M74" s="38" t="inlineStr">
        <is>
          <t>No</t>
        </is>
      </c>
      <c r="N74" s="38" t="inlineStr">
        <is>
          <t>Wiper blades / oil</t>
        </is>
      </c>
      <c r="O74" s="40">
        <f>IF(AND($B74&gt;=CurMonthStart,$B74&lt;=CurMonthEnd),$K74,0)</f>
        <v/>
      </c>
    </row>
    <row r="75">
      <c r="A75" s="38">
        <f>ROW()-5</f>
        <v/>
      </c>
      <c r="B75" s="39" t="n">
        <v>46009</v>
      </c>
      <c r="C75" s="38" t="inlineStr">
        <is>
          <t>City Electric Co</t>
        </is>
      </c>
      <c r="D75" s="38">
        <f>IFERROR(INDEX(Dim_Vendor[VendorID],MATCH($C75,Dim_Vendor[VendorName],0)),"")</f>
        <v/>
      </c>
      <c r="E75" s="38" t="inlineStr">
        <is>
          <t>Utilities</t>
        </is>
      </c>
      <c r="F75" s="38">
        <f>IFERROR(INDEX(Dim_Category[CategoryID],MATCH($E75,Dim_Category[CategoryName],0)),"")</f>
        <v/>
      </c>
      <c r="G75" s="38" t="inlineStr">
        <is>
          <t>Checking</t>
        </is>
      </c>
      <c r="H75" s="38">
        <f>IFERROR(INDEX(Dim_Account[AccountID],MATCH($G75,Dim_Account[AccountName],0)),"")</f>
        <v/>
      </c>
      <c r="I75" s="38" t="inlineStr">
        <is>
          <t>ACH</t>
        </is>
      </c>
      <c r="J75" s="38">
        <f>IFERROR(INDEX(Dim_PaymentMethod[PaymentMethodID],MATCH($I75,Dim_PaymentMethod[MethodName],0)),"")</f>
        <v/>
      </c>
      <c r="K75" s="40" t="n">
        <v>131.48</v>
      </c>
      <c r="L75" s="38" t="inlineStr">
        <is>
          <t>Need</t>
        </is>
      </c>
      <c r="M75" s="38" t="inlineStr">
        <is>
          <t>Yes</t>
        </is>
      </c>
      <c r="N75" s="38" t="inlineStr"/>
      <c r="O75" s="40">
        <f>IF(AND($B75&gt;=CurMonthStart,$B75&lt;=CurMonthEnd),$K75,0)</f>
        <v/>
      </c>
    </row>
    <row r="76">
      <c r="A76" s="38">
        <f>ROW()-5</f>
        <v/>
      </c>
      <c r="B76" s="39" t="n">
        <v>46012</v>
      </c>
      <c r="C76" s="38" t="inlineStr">
        <is>
          <t>Comcast Xfinity</t>
        </is>
      </c>
      <c r="D76" s="38">
        <f>IFERROR(INDEX(Dim_Vendor[VendorID],MATCH($C76,Dim_Vendor[VendorName],0)),"")</f>
        <v/>
      </c>
      <c r="E76" s="38" t="inlineStr">
        <is>
          <t>Utilities</t>
        </is>
      </c>
      <c r="F76" s="38">
        <f>IFERROR(INDEX(Dim_Category[CategoryID],MATCH($E76,Dim_Category[CategoryName],0)),"")</f>
        <v/>
      </c>
      <c r="G76" s="38" t="inlineStr">
        <is>
          <t>Checking</t>
        </is>
      </c>
      <c r="H76" s="38">
        <f>IFERROR(INDEX(Dim_Account[AccountID],MATCH($G76,Dim_Account[AccountName],0)),"")</f>
        <v/>
      </c>
      <c r="I76" s="38" t="inlineStr">
        <is>
          <t>ACH</t>
        </is>
      </c>
      <c r="J76" s="38">
        <f>IFERROR(INDEX(Dim_PaymentMethod[PaymentMethodID],MATCH($I76,Dim_PaymentMethod[MethodName],0)),"")</f>
        <v/>
      </c>
      <c r="K76" s="40" t="n">
        <v>80.72</v>
      </c>
      <c r="L76" s="38" t="inlineStr">
        <is>
          <t>Need</t>
        </is>
      </c>
      <c r="M76" s="38" t="inlineStr">
        <is>
          <t>Yes</t>
        </is>
      </c>
      <c r="N76" s="38" t="inlineStr">
        <is>
          <t>Internet</t>
        </is>
      </c>
      <c r="O76" s="40">
        <f>IF(AND($B76&gt;=CurMonthStart,$B76&lt;=CurMonthEnd),$K76,0)</f>
        <v/>
      </c>
    </row>
    <row r="77">
      <c r="A77" s="38">
        <f>ROW()-5</f>
        <v/>
      </c>
      <c r="B77" s="39" t="n">
        <v>46015</v>
      </c>
      <c r="C77" s="38" t="inlineStr">
        <is>
          <t>Verizon Wireless</t>
        </is>
      </c>
      <c r="D77" s="38">
        <f>IFERROR(INDEX(Dim_Vendor[VendorID],MATCH($C77,Dim_Vendor[VendorName],0)),"")</f>
        <v/>
      </c>
      <c r="E77" s="38" t="inlineStr">
        <is>
          <t>Utilities</t>
        </is>
      </c>
      <c r="F77" s="38">
        <f>IFERROR(INDEX(Dim_Category[CategoryID],MATCH($E77,Dim_Category[CategoryName],0)),"")</f>
        <v/>
      </c>
      <c r="G77" s="38" t="inlineStr">
        <is>
          <t>Checking</t>
        </is>
      </c>
      <c r="H77" s="38">
        <f>IFERROR(INDEX(Dim_Account[AccountID],MATCH($G77,Dim_Account[AccountName],0)),"")</f>
        <v/>
      </c>
      <c r="I77" s="38" t="inlineStr">
        <is>
          <t>ACH</t>
        </is>
      </c>
      <c r="J77" s="38">
        <f>IFERROR(INDEX(Dim_PaymentMethod[PaymentMethodID],MATCH($I77,Dim_PaymentMethod[MethodName],0)),"")</f>
        <v/>
      </c>
      <c r="K77" s="40" t="n">
        <v>97.81</v>
      </c>
      <c r="L77" s="38" t="inlineStr">
        <is>
          <t>Need</t>
        </is>
      </c>
      <c r="M77" s="38" t="inlineStr">
        <is>
          <t>Yes</t>
        </is>
      </c>
      <c r="N77" s="38" t="inlineStr">
        <is>
          <t>Mobile phone</t>
        </is>
      </c>
      <c r="O77" s="40">
        <f>IF(AND($B77&gt;=CurMonthStart,$B77&lt;=CurMonthEnd),$K77,0)</f>
        <v/>
      </c>
    </row>
    <row r="78">
      <c r="A78" s="38">
        <f>ROW()-5</f>
        <v/>
      </c>
      <c r="B78" s="39" t="n">
        <v>46018</v>
      </c>
      <c r="C78" s="38" t="inlineStr">
        <is>
          <t>State Farm Insurance</t>
        </is>
      </c>
      <c r="D78" s="38">
        <f>IFERROR(INDEX(Dim_Vendor[VendorID],MATCH($C78,Dim_Vendor[VendorName],0)),"")</f>
        <v/>
      </c>
      <c r="E78" s="38" t="inlineStr">
        <is>
          <t>Insurance</t>
        </is>
      </c>
      <c r="F78" s="38">
        <f>IFERROR(INDEX(Dim_Category[CategoryID],MATCH($E78,Dim_Category[CategoryName],0)),"")</f>
        <v/>
      </c>
      <c r="G78" s="38" t="inlineStr">
        <is>
          <t>Checking</t>
        </is>
      </c>
      <c r="H78" s="38">
        <f>IFERROR(INDEX(Dim_Account[AccountID],MATCH($G78,Dim_Account[AccountName],0)),"")</f>
        <v/>
      </c>
      <c r="I78" s="38" t="inlineStr">
        <is>
          <t>ACH</t>
        </is>
      </c>
      <c r="J78" s="38">
        <f>IFERROR(INDEX(Dim_PaymentMethod[PaymentMethodID],MATCH($I78,Dim_PaymentMethod[MethodName],0)),"")</f>
        <v/>
      </c>
      <c r="K78" s="40" t="n">
        <v>149.79</v>
      </c>
      <c r="L78" s="38" t="inlineStr">
        <is>
          <t>Need</t>
        </is>
      </c>
      <c r="M78" s="38" t="inlineStr">
        <is>
          <t>Yes</t>
        </is>
      </c>
      <c r="N78" s="38" t="inlineStr">
        <is>
          <t>Auto + home insurance</t>
        </is>
      </c>
      <c r="O78" s="40">
        <f>IF(AND($B78&gt;=CurMonthStart,$B78&lt;=CurMonthEnd),$K78,0)</f>
        <v/>
      </c>
    </row>
    <row r="79">
      <c r="A79" s="38">
        <f>ROW()-5</f>
        <v/>
      </c>
      <c r="B79" s="39" t="n">
        <v>45994</v>
      </c>
      <c r="C79" s="38" t="inlineStr">
        <is>
          <t>Kaiser Permanente</t>
        </is>
      </c>
      <c r="D79" s="38">
        <f>IFERROR(INDEX(Dim_Vendor[VendorID],MATCH($C79,Dim_Vendor[VendorName],0)),"")</f>
        <v/>
      </c>
      <c r="E79" s="38" t="inlineStr">
        <is>
          <t>Healthcare</t>
        </is>
      </c>
      <c r="F79" s="38">
        <f>IFERROR(INDEX(Dim_Category[CategoryID],MATCH($E79,Dim_Category[CategoryName],0)),"")</f>
        <v/>
      </c>
      <c r="G79" s="38" t="inlineStr">
        <is>
          <t>Credit Card</t>
        </is>
      </c>
      <c r="H79" s="38">
        <f>IFERROR(INDEX(Dim_Account[AccountID],MATCH($G79,Dim_Account[AccountName],0)),"")</f>
        <v/>
      </c>
      <c r="I79" s="38" t="inlineStr">
        <is>
          <t>Credit Card</t>
        </is>
      </c>
      <c r="J79" s="38">
        <f>IFERROR(INDEX(Dim_PaymentMethod[PaymentMethodID],MATCH($I79,Dim_PaymentMethod[MethodName],0)),"")</f>
        <v/>
      </c>
      <c r="K79" s="40" t="n">
        <v>46.99</v>
      </c>
      <c r="L79" s="38" t="inlineStr">
        <is>
          <t>Need</t>
        </is>
      </c>
      <c r="M79" s="38" t="inlineStr">
        <is>
          <t>No</t>
        </is>
      </c>
      <c r="N79" s="38" t="inlineStr">
        <is>
          <t>Copay</t>
        </is>
      </c>
      <c r="O79" s="40">
        <f>IF(AND($B79&gt;=CurMonthStart,$B79&lt;=CurMonthEnd),$K79,0)</f>
        <v/>
      </c>
    </row>
    <row r="80">
      <c r="A80" s="38">
        <f>ROW()-5</f>
        <v/>
      </c>
      <c r="B80" s="39" t="n">
        <v>45997</v>
      </c>
      <c r="C80" s="38" t="inlineStr">
        <is>
          <t>Chipotle</t>
        </is>
      </c>
      <c r="D80" s="38">
        <f>IFERROR(INDEX(Dim_Vendor[VendorID],MATCH($C80,Dim_Vendor[VendorName],0)),"")</f>
        <v/>
      </c>
      <c r="E80" s="38" t="inlineStr">
        <is>
          <t>Dining &amp; Entertainment</t>
        </is>
      </c>
      <c r="F80" s="38">
        <f>IFERROR(INDEX(Dim_Category[CategoryID],MATCH($E80,Dim_Category[CategoryName],0)),"")</f>
        <v/>
      </c>
      <c r="G80" s="38" t="inlineStr">
        <is>
          <t>Credit Card</t>
        </is>
      </c>
      <c r="H80" s="38">
        <f>IFERROR(INDEX(Dim_Account[AccountID],MATCH($G80,Dim_Account[AccountName],0)),"")</f>
        <v/>
      </c>
      <c r="I80" s="38" t="inlineStr">
        <is>
          <t>Credit Card</t>
        </is>
      </c>
      <c r="J80" s="38">
        <f>IFERROR(INDEX(Dim_PaymentMethod[PaymentMethodID],MATCH($I80,Dim_PaymentMethod[MethodName],0)),"")</f>
        <v/>
      </c>
      <c r="K80" s="40" t="n">
        <v>14.25</v>
      </c>
      <c r="L80" s="38" t="inlineStr">
        <is>
          <t>Want</t>
        </is>
      </c>
      <c r="M80" s="38" t="inlineStr">
        <is>
          <t>No</t>
        </is>
      </c>
      <c r="N80" s="38" t="inlineStr"/>
      <c r="O80" s="40">
        <f>IF(AND($B80&gt;=CurMonthStart,$B80&lt;=CurMonthEnd),$K80,0)</f>
        <v/>
      </c>
    </row>
    <row r="81">
      <c r="A81" s="38">
        <f>ROW()-5</f>
        <v/>
      </c>
      <c r="B81" s="39" t="n">
        <v>46000</v>
      </c>
      <c r="C81" s="38" t="inlineStr">
        <is>
          <t>Netflix</t>
        </is>
      </c>
      <c r="D81" s="38">
        <f>IFERROR(INDEX(Dim_Vendor[VendorID],MATCH($C81,Dim_Vendor[VendorName],0)),"")</f>
        <v/>
      </c>
      <c r="E81" s="38" t="inlineStr">
        <is>
          <t>Dining &amp; Entertainment</t>
        </is>
      </c>
      <c r="F81" s="38">
        <f>IFERROR(INDEX(Dim_Category[CategoryID],MATCH($E81,Dim_Category[CategoryName],0)),"")</f>
        <v/>
      </c>
      <c r="G81" s="38" t="inlineStr">
        <is>
          <t>Credit Card</t>
        </is>
      </c>
      <c r="H81" s="38">
        <f>IFERROR(INDEX(Dim_Account[AccountID],MATCH($G81,Dim_Account[AccountName],0)),"")</f>
        <v/>
      </c>
      <c r="I81" s="38" t="inlineStr">
        <is>
          <t>Credit Card</t>
        </is>
      </c>
      <c r="J81" s="38">
        <f>IFERROR(INDEX(Dim_PaymentMethod[PaymentMethodID],MATCH($I81,Dim_PaymentMethod[MethodName],0)),"")</f>
        <v/>
      </c>
      <c r="K81" s="40" t="n">
        <v>15.49</v>
      </c>
      <c r="L81" s="38" t="inlineStr">
        <is>
          <t>Want</t>
        </is>
      </c>
      <c r="M81" s="38" t="inlineStr">
        <is>
          <t>Yes</t>
        </is>
      </c>
      <c r="N81" s="38" t="inlineStr">
        <is>
          <t>Streaming subscription</t>
        </is>
      </c>
      <c r="O81" s="40">
        <f>IF(AND($B81&gt;=CurMonthStart,$B81&lt;=CurMonthEnd),$K81,0)</f>
        <v/>
      </c>
    </row>
    <row r="82">
      <c r="A82" s="38">
        <f>ROW()-5</f>
        <v/>
      </c>
      <c r="B82" s="39" t="n">
        <v>46003</v>
      </c>
      <c r="C82" s="38" t="inlineStr">
        <is>
          <t>AMC Theatres</t>
        </is>
      </c>
      <c r="D82" s="38">
        <f>IFERROR(INDEX(Dim_Vendor[VendorID],MATCH($C82,Dim_Vendor[VendorName],0)),"")</f>
        <v/>
      </c>
      <c r="E82" s="38" t="inlineStr">
        <is>
          <t>Dining &amp; Entertainment</t>
        </is>
      </c>
      <c r="F82" s="38">
        <f>IFERROR(INDEX(Dim_Category[CategoryID],MATCH($E82,Dim_Category[CategoryName],0)),"")</f>
        <v/>
      </c>
      <c r="G82" s="38" t="inlineStr">
        <is>
          <t>Credit Card</t>
        </is>
      </c>
      <c r="H82" s="38">
        <f>IFERROR(INDEX(Dim_Account[AccountID],MATCH($G82,Dim_Account[AccountName],0)),"")</f>
        <v/>
      </c>
      <c r="I82" s="38" t="inlineStr">
        <is>
          <t>Credit Card</t>
        </is>
      </c>
      <c r="J82" s="38">
        <f>IFERROR(INDEX(Dim_PaymentMethod[PaymentMethodID],MATCH($I82,Dim_PaymentMethod[MethodName],0)),"")</f>
        <v/>
      </c>
      <c r="K82" s="40" t="n">
        <v>30.61</v>
      </c>
      <c r="L82" s="38" t="inlineStr">
        <is>
          <t>Want</t>
        </is>
      </c>
      <c r="M82" s="38" t="inlineStr">
        <is>
          <t>No</t>
        </is>
      </c>
      <c r="N82" s="38" t="inlineStr"/>
      <c r="O82" s="40">
        <f>IF(AND($B82&gt;=CurMonthStart,$B82&lt;=CurMonthEnd),$K82,0)</f>
        <v/>
      </c>
    </row>
    <row r="83">
      <c r="A83" s="38">
        <f>ROW()-5</f>
        <v/>
      </c>
      <c r="B83" s="39" t="n">
        <v>46006</v>
      </c>
      <c r="C83" s="38" t="inlineStr">
        <is>
          <t>Planet Fitness</t>
        </is>
      </c>
      <c r="D83" s="38">
        <f>IFERROR(INDEX(Dim_Vendor[VendorID],MATCH($C83,Dim_Vendor[VendorName],0)),"")</f>
        <v/>
      </c>
      <c r="E83" s="38" t="inlineStr">
        <is>
          <t>Personal Care</t>
        </is>
      </c>
      <c r="F83" s="38">
        <f>IFERROR(INDEX(Dim_Category[CategoryID],MATCH($E83,Dim_Category[CategoryName],0)),"")</f>
        <v/>
      </c>
      <c r="G83" s="38" t="inlineStr">
        <is>
          <t>Checking</t>
        </is>
      </c>
      <c r="H83" s="38">
        <f>IFERROR(INDEX(Dim_Account[AccountID],MATCH($G83,Dim_Account[AccountName],0)),"")</f>
        <v/>
      </c>
      <c r="I83" s="38" t="inlineStr">
        <is>
          <t>ACH</t>
        </is>
      </c>
      <c r="J83" s="38">
        <f>IFERROR(INDEX(Dim_PaymentMethod[PaymentMethodID],MATCH($I83,Dim_PaymentMethod[MethodName],0)),"")</f>
        <v/>
      </c>
      <c r="K83" s="40" t="n">
        <v>23.12</v>
      </c>
      <c r="L83" s="38" t="inlineStr">
        <is>
          <t>Want</t>
        </is>
      </c>
      <c r="M83" s="38" t="inlineStr">
        <is>
          <t>Yes</t>
        </is>
      </c>
      <c r="N83" s="38" t="inlineStr">
        <is>
          <t>Gym membership</t>
        </is>
      </c>
      <c r="O83" s="40">
        <f>IF(AND($B83&gt;=CurMonthStart,$B83&lt;=CurMonthEnd),$K83,0)</f>
        <v/>
      </c>
    </row>
    <row r="84">
      <c r="A84" s="38">
        <f>ROW()-5</f>
        <v/>
      </c>
      <c r="B84" s="39" t="n">
        <v>46009</v>
      </c>
      <c r="C84" s="38" t="inlineStr">
        <is>
          <t>Amazon</t>
        </is>
      </c>
      <c r="D84" s="38">
        <f>IFERROR(INDEX(Dim_Vendor[VendorID],MATCH($C84,Dim_Vendor[VendorName],0)),"")</f>
        <v/>
      </c>
      <c r="E84" s="38" t="inlineStr">
        <is>
          <t>Shopping</t>
        </is>
      </c>
      <c r="F84" s="38">
        <f>IFERROR(INDEX(Dim_Category[CategoryID],MATCH($E84,Dim_Category[CategoryName],0)),"")</f>
        <v/>
      </c>
      <c r="G84" s="38" t="inlineStr">
        <is>
          <t>Credit Card</t>
        </is>
      </c>
      <c r="H84" s="38">
        <f>IFERROR(INDEX(Dim_Account[AccountID],MATCH($G84,Dim_Account[AccountName],0)),"")</f>
        <v/>
      </c>
      <c r="I84" s="38" t="inlineStr">
        <is>
          <t>Credit Card</t>
        </is>
      </c>
      <c r="J84" s="38">
        <f>IFERROR(INDEX(Dim_PaymentMethod[PaymentMethodID],MATCH($I84,Dim_PaymentMethod[MethodName],0)),"")</f>
        <v/>
      </c>
      <c r="K84" s="40" t="n">
        <v>66.45</v>
      </c>
      <c r="L84" s="38" t="inlineStr">
        <is>
          <t>Want</t>
        </is>
      </c>
      <c r="M84" s="38" t="inlineStr">
        <is>
          <t>No</t>
        </is>
      </c>
      <c r="N84" s="38" t="inlineStr"/>
      <c r="O84" s="40">
        <f>IF(AND($B84&gt;=CurMonthStart,$B84&lt;=CurMonthEnd),$K84,0)</f>
        <v/>
      </c>
    </row>
    <row r="85">
      <c r="A85" s="38">
        <f>ROW()-5</f>
        <v/>
      </c>
      <c r="B85" s="39" t="n">
        <v>46012</v>
      </c>
      <c r="C85" s="38" t="inlineStr">
        <is>
          <t>Target</t>
        </is>
      </c>
      <c r="D85" s="38">
        <f>IFERROR(INDEX(Dim_Vendor[VendorID],MATCH($C85,Dim_Vendor[VendorName],0)),"")</f>
        <v/>
      </c>
      <c r="E85" s="38" t="inlineStr">
        <is>
          <t>Shopping</t>
        </is>
      </c>
      <c r="F85" s="38">
        <f>IFERROR(INDEX(Dim_Category[CategoryID],MATCH($E85,Dim_Category[CategoryName],0)),"")</f>
        <v/>
      </c>
      <c r="G85" s="38" t="inlineStr">
        <is>
          <t>Credit Card</t>
        </is>
      </c>
      <c r="H85" s="38">
        <f>IFERROR(INDEX(Dim_Account[AccountID],MATCH($G85,Dim_Account[AccountName],0)),"")</f>
        <v/>
      </c>
      <c r="I85" s="38" t="inlineStr">
        <is>
          <t>Credit Card</t>
        </is>
      </c>
      <c r="J85" s="38">
        <f>IFERROR(INDEX(Dim_PaymentMethod[PaymentMethodID],MATCH($I85,Dim_PaymentMethod[MethodName],0)),"")</f>
        <v/>
      </c>
      <c r="K85" s="40" t="n">
        <v>52.3</v>
      </c>
      <c r="L85" s="38" t="inlineStr">
        <is>
          <t>Want</t>
        </is>
      </c>
      <c r="M85" s="38" t="inlineStr">
        <is>
          <t>No</t>
        </is>
      </c>
      <c r="N85" s="38" t="inlineStr"/>
      <c r="O85" s="40">
        <f>IF(AND($B85&gt;=CurMonthStart,$B85&lt;=CurMonthEnd),$K85,0)</f>
        <v/>
      </c>
    </row>
    <row r="86">
      <c r="A86" s="38">
        <f>ROW()-5</f>
        <v/>
      </c>
      <c r="B86" s="39" t="n">
        <v>46025</v>
      </c>
      <c r="C86" s="38" t="inlineStr">
        <is>
          <t>Mortgage Lender</t>
        </is>
      </c>
      <c r="D86" s="38">
        <f>IFERROR(INDEX(Dim_Vendor[VendorID],MATCH($C86,Dim_Vendor[VendorName],0)),"")</f>
        <v/>
      </c>
      <c r="E86" s="38" t="inlineStr">
        <is>
          <t>Mortgage</t>
        </is>
      </c>
      <c r="F86" s="38">
        <f>IFERROR(INDEX(Dim_Category[CategoryID],MATCH($E86,Dim_Category[CategoryName],0)),"")</f>
        <v/>
      </c>
      <c r="G86" s="38" t="inlineStr">
        <is>
          <t>Checking</t>
        </is>
      </c>
      <c r="H86" s="38">
        <f>IFERROR(INDEX(Dim_Account[AccountID],MATCH($G86,Dim_Account[AccountName],0)),"")</f>
        <v/>
      </c>
      <c r="I86" s="38" t="inlineStr">
        <is>
          <t>ACH</t>
        </is>
      </c>
      <c r="J86" s="38">
        <f>IFERROR(INDEX(Dim_PaymentMethod[PaymentMethodID],MATCH($I86,Dim_PaymentMethod[MethodName],0)),"")</f>
        <v/>
      </c>
      <c r="K86" s="40" t="n">
        <v>2050.58</v>
      </c>
      <c r="L86" s="38" t="inlineStr">
        <is>
          <t>Need</t>
        </is>
      </c>
      <c r="M86" s="38" t="inlineStr">
        <is>
          <t>Yes</t>
        </is>
      </c>
      <c r="N86" s="38" t="inlineStr">
        <is>
          <t>Monthly mortgage payment</t>
        </is>
      </c>
      <c r="O86" s="40">
        <f>IF(AND($B86&gt;=CurMonthStart,$B86&lt;=CurMonthEnd),$K86,0)</f>
        <v/>
      </c>
    </row>
    <row r="87">
      <c r="A87" s="38">
        <f>ROW()-5</f>
        <v/>
      </c>
      <c r="B87" s="39" t="n">
        <v>46028</v>
      </c>
      <c r="C87" s="38" t="inlineStr">
        <is>
          <t>Whole Foods</t>
        </is>
      </c>
      <c r="D87" s="38">
        <f>IFERROR(INDEX(Dim_Vendor[VendorID],MATCH($C87,Dim_Vendor[VendorName],0)),"")</f>
        <v/>
      </c>
      <c r="E87" s="38" t="inlineStr">
        <is>
          <t>Groceries</t>
        </is>
      </c>
      <c r="F87" s="38">
        <f>IFERROR(INDEX(Dim_Category[CategoryID],MATCH($E87,Dim_Category[CategoryName],0)),"")</f>
        <v/>
      </c>
      <c r="G87" s="38" t="inlineStr">
        <is>
          <t>Credit Card</t>
        </is>
      </c>
      <c r="H87" s="38">
        <f>IFERROR(INDEX(Dim_Account[AccountID],MATCH($G87,Dim_Account[AccountName],0)),"")</f>
        <v/>
      </c>
      <c r="I87" s="38" t="inlineStr">
        <is>
          <t>Credit Card</t>
        </is>
      </c>
      <c r="J87" s="38">
        <f>IFERROR(INDEX(Dim_PaymentMethod[PaymentMethodID],MATCH($I87,Dim_PaymentMethod[MethodName],0)),"")</f>
        <v/>
      </c>
      <c r="K87" s="40" t="n">
        <v>199.63</v>
      </c>
      <c r="L87" s="38" t="inlineStr">
        <is>
          <t>Need</t>
        </is>
      </c>
      <c r="M87" s="38" t="inlineStr">
        <is>
          <t>No</t>
        </is>
      </c>
      <c r="N87" s="38" t="inlineStr"/>
      <c r="O87" s="40">
        <f>IF(AND($B87&gt;=CurMonthStart,$B87&lt;=CurMonthEnd),$K87,0)</f>
        <v/>
      </c>
    </row>
    <row r="88">
      <c r="A88" s="38">
        <f>ROW()-5</f>
        <v/>
      </c>
      <c r="B88" s="39" t="n">
        <v>46031</v>
      </c>
      <c r="C88" s="38" t="inlineStr">
        <is>
          <t>Costco</t>
        </is>
      </c>
      <c r="D88" s="38">
        <f>IFERROR(INDEX(Dim_Vendor[VendorID],MATCH($C88,Dim_Vendor[VendorName],0)),"")</f>
        <v/>
      </c>
      <c r="E88" s="38" t="inlineStr">
        <is>
          <t>Groceries</t>
        </is>
      </c>
      <c r="F88" s="38">
        <f>IFERROR(INDEX(Dim_Category[CategoryID],MATCH($E88,Dim_Category[CategoryName],0)),"")</f>
        <v/>
      </c>
      <c r="G88" s="38" t="inlineStr">
        <is>
          <t>Credit Card</t>
        </is>
      </c>
      <c r="H88" s="38">
        <f>IFERROR(INDEX(Dim_Account[AccountID],MATCH($G88,Dim_Account[AccountName],0)),"")</f>
        <v/>
      </c>
      <c r="I88" s="38" t="inlineStr">
        <is>
          <t>Credit Card</t>
        </is>
      </c>
      <c r="J88" s="38">
        <f>IFERROR(INDEX(Dim_PaymentMethod[PaymentMethodID],MATCH($I88,Dim_PaymentMethod[MethodName],0)),"")</f>
        <v/>
      </c>
      <c r="K88" s="40" t="n">
        <v>259.86</v>
      </c>
      <c r="L88" s="38" t="inlineStr">
        <is>
          <t>Need</t>
        </is>
      </c>
      <c r="M88" s="38" t="inlineStr">
        <is>
          <t>No</t>
        </is>
      </c>
      <c r="N88" s="38" t="inlineStr">
        <is>
          <t>Bulk groceries</t>
        </is>
      </c>
      <c r="O88" s="40">
        <f>IF(AND($B88&gt;=CurMonthStart,$B88&lt;=CurMonthEnd),$K88,0)</f>
        <v/>
      </c>
    </row>
    <row r="89">
      <c r="A89" s="38">
        <f>ROW()-5</f>
        <v/>
      </c>
      <c r="B89" s="39" t="n">
        <v>46034</v>
      </c>
      <c r="C89" s="38" t="inlineStr">
        <is>
          <t>Shell Gas Station</t>
        </is>
      </c>
      <c r="D89" s="38">
        <f>IFERROR(INDEX(Dim_Vendor[VendorID],MATCH($C89,Dim_Vendor[VendorName],0)),"")</f>
        <v/>
      </c>
      <c r="E89" s="38" t="inlineStr">
        <is>
          <t>Car</t>
        </is>
      </c>
      <c r="F89" s="38">
        <f>IFERROR(INDEX(Dim_Category[CategoryID],MATCH($E89,Dim_Category[CategoryName],0)),"")</f>
        <v/>
      </c>
      <c r="G89" s="38" t="inlineStr">
        <is>
          <t>Credit Card</t>
        </is>
      </c>
      <c r="H89" s="38">
        <f>IFERROR(INDEX(Dim_Account[AccountID],MATCH($G89,Dim_Account[AccountName],0)),"")</f>
        <v/>
      </c>
      <c r="I89" s="38" t="inlineStr">
        <is>
          <t>Credit Card</t>
        </is>
      </c>
      <c r="J89" s="38">
        <f>IFERROR(INDEX(Dim_PaymentMethod[PaymentMethodID],MATCH($I89,Dim_PaymentMethod[MethodName],0)),"")</f>
        <v/>
      </c>
      <c r="K89" s="40" t="n">
        <v>50.75</v>
      </c>
      <c r="L89" s="38" t="inlineStr">
        <is>
          <t>Need</t>
        </is>
      </c>
      <c r="M89" s="38" t="inlineStr">
        <is>
          <t>No</t>
        </is>
      </c>
      <c r="N89" s="38" t="inlineStr">
        <is>
          <t>Gas</t>
        </is>
      </c>
      <c r="O89" s="40">
        <f>IF(AND($B89&gt;=CurMonthStart,$B89&lt;=CurMonthEnd),$K89,0)</f>
        <v/>
      </c>
    </row>
    <row r="90">
      <c r="A90" s="38">
        <f>ROW()-5</f>
        <v/>
      </c>
      <c r="B90" s="39" t="n">
        <v>46037</v>
      </c>
      <c r="C90" s="38" t="inlineStr">
        <is>
          <t>AutoZone</t>
        </is>
      </c>
      <c r="D90" s="38">
        <f>IFERROR(INDEX(Dim_Vendor[VendorID],MATCH($C90,Dim_Vendor[VendorName],0)),"")</f>
        <v/>
      </c>
      <c r="E90" s="38" t="inlineStr">
        <is>
          <t>Car</t>
        </is>
      </c>
      <c r="F90" s="38">
        <f>IFERROR(INDEX(Dim_Category[CategoryID],MATCH($E90,Dim_Category[CategoryName],0)),"")</f>
        <v/>
      </c>
      <c r="G90" s="38" t="inlineStr">
        <is>
          <t>Credit Card</t>
        </is>
      </c>
      <c r="H90" s="38">
        <f>IFERROR(INDEX(Dim_Account[AccountID],MATCH($G90,Dim_Account[AccountName],0)),"")</f>
        <v/>
      </c>
      <c r="I90" s="38" t="inlineStr">
        <is>
          <t>Credit Card</t>
        </is>
      </c>
      <c r="J90" s="38">
        <f>IFERROR(INDEX(Dim_PaymentMethod[PaymentMethodID],MATCH($I90,Dim_PaymentMethod[MethodName],0)),"")</f>
        <v/>
      </c>
      <c r="K90" s="40" t="n">
        <v>39.71</v>
      </c>
      <c r="L90" s="38" t="inlineStr">
        <is>
          <t>Need</t>
        </is>
      </c>
      <c r="M90" s="38" t="inlineStr">
        <is>
          <t>No</t>
        </is>
      </c>
      <c r="N90" s="38" t="inlineStr">
        <is>
          <t>Wiper blades / oil</t>
        </is>
      </c>
      <c r="O90" s="40">
        <f>IF(AND($B90&gt;=CurMonthStart,$B90&lt;=CurMonthEnd),$K90,0)</f>
        <v/>
      </c>
    </row>
    <row r="91">
      <c r="A91" s="38">
        <f>ROW()-5</f>
        <v/>
      </c>
      <c r="B91" s="39" t="n">
        <v>46040</v>
      </c>
      <c r="C91" s="38" t="inlineStr">
        <is>
          <t>City Electric Co</t>
        </is>
      </c>
      <c r="D91" s="38">
        <f>IFERROR(INDEX(Dim_Vendor[VendorID],MATCH($C91,Dim_Vendor[VendorName],0)),"")</f>
        <v/>
      </c>
      <c r="E91" s="38" t="inlineStr">
        <is>
          <t>Utilities</t>
        </is>
      </c>
      <c r="F91" s="38">
        <f>IFERROR(INDEX(Dim_Category[CategoryID],MATCH($E91,Dim_Category[CategoryName],0)),"")</f>
        <v/>
      </c>
      <c r="G91" s="38" t="inlineStr">
        <is>
          <t>Checking</t>
        </is>
      </c>
      <c r="H91" s="38">
        <f>IFERROR(INDEX(Dim_Account[AccountID],MATCH($G91,Dim_Account[AccountName],0)),"")</f>
        <v/>
      </c>
      <c r="I91" s="38" t="inlineStr">
        <is>
          <t>ACH</t>
        </is>
      </c>
      <c r="J91" s="38">
        <f>IFERROR(INDEX(Dim_PaymentMethod[PaymentMethodID],MATCH($I91,Dim_PaymentMethod[MethodName],0)),"")</f>
        <v/>
      </c>
      <c r="K91" s="40" t="n">
        <v>126.45</v>
      </c>
      <c r="L91" s="38" t="inlineStr">
        <is>
          <t>Need</t>
        </is>
      </c>
      <c r="M91" s="38" t="inlineStr">
        <is>
          <t>Yes</t>
        </is>
      </c>
      <c r="N91" s="38" t="inlineStr"/>
      <c r="O91" s="40">
        <f>IF(AND($B91&gt;=CurMonthStart,$B91&lt;=CurMonthEnd),$K91,0)</f>
        <v/>
      </c>
    </row>
    <row r="92">
      <c r="A92" s="38">
        <f>ROW()-5</f>
        <v/>
      </c>
      <c r="B92" s="39" t="n">
        <v>46043</v>
      </c>
      <c r="C92" s="38" t="inlineStr">
        <is>
          <t>Comcast Xfinity</t>
        </is>
      </c>
      <c r="D92" s="38">
        <f>IFERROR(INDEX(Dim_Vendor[VendorID],MATCH($C92,Dim_Vendor[VendorName],0)),"")</f>
        <v/>
      </c>
      <c r="E92" s="38" t="inlineStr">
        <is>
          <t>Utilities</t>
        </is>
      </c>
      <c r="F92" s="38">
        <f>IFERROR(INDEX(Dim_Category[CategoryID],MATCH($E92,Dim_Category[CategoryName],0)),"")</f>
        <v/>
      </c>
      <c r="G92" s="38" t="inlineStr">
        <is>
          <t>Checking</t>
        </is>
      </c>
      <c r="H92" s="38">
        <f>IFERROR(INDEX(Dim_Account[AccountID],MATCH($G92,Dim_Account[AccountName],0)),"")</f>
        <v/>
      </c>
      <c r="I92" s="38" t="inlineStr">
        <is>
          <t>ACH</t>
        </is>
      </c>
      <c r="J92" s="38">
        <f>IFERROR(INDEX(Dim_PaymentMethod[PaymentMethodID],MATCH($I92,Dim_PaymentMethod[MethodName],0)),"")</f>
        <v/>
      </c>
      <c r="K92" s="40" t="n">
        <v>85.3</v>
      </c>
      <c r="L92" s="38" t="inlineStr">
        <is>
          <t>Need</t>
        </is>
      </c>
      <c r="M92" s="38" t="inlineStr">
        <is>
          <t>Yes</t>
        </is>
      </c>
      <c r="N92" s="38" t="inlineStr">
        <is>
          <t>Internet</t>
        </is>
      </c>
      <c r="O92" s="40">
        <f>IF(AND($B92&gt;=CurMonthStart,$B92&lt;=CurMonthEnd),$K92,0)</f>
        <v/>
      </c>
    </row>
    <row r="93">
      <c r="A93" s="38">
        <f>ROW()-5</f>
        <v/>
      </c>
      <c r="B93" s="39" t="n">
        <v>46046</v>
      </c>
      <c r="C93" s="38" t="inlineStr">
        <is>
          <t>Verizon Wireless</t>
        </is>
      </c>
      <c r="D93" s="38">
        <f>IFERROR(INDEX(Dim_Vendor[VendorID],MATCH($C93,Dim_Vendor[VendorName],0)),"")</f>
        <v/>
      </c>
      <c r="E93" s="38" t="inlineStr">
        <is>
          <t>Utilities</t>
        </is>
      </c>
      <c r="F93" s="38">
        <f>IFERROR(INDEX(Dim_Category[CategoryID],MATCH($E93,Dim_Category[CategoryName],0)),"")</f>
        <v/>
      </c>
      <c r="G93" s="38" t="inlineStr">
        <is>
          <t>Checking</t>
        </is>
      </c>
      <c r="H93" s="38">
        <f>IFERROR(INDEX(Dim_Account[AccountID],MATCH($G93,Dim_Account[AccountName],0)),"")</f>
        <v/>
      </c>
      <c r="I93" s="38" t="inlineStr">
        <is>
          <t>ACH</t>
        </is>
      </c>
      <c r="J93" s="38">
        <f>IFERROR(INDEX(Dim_PaymentMethod[PaymentMethodID],MATCH($I93,Dim_PaymentMethod[MethodName],0)),"")</f>
        <v/>
      </c>
      <c r="K93" s="40" t="n">
        <v>94.37</v>
      </c>
      <c r="L93" s="38" t="inlineStr">
        <is>
          <t>Need</t>
        </is>
      </c>
      <c r="M93" s="38" t="inlineStr">
        <is>
          <t>Yes</t>
        </is>
      </c>
      <c r="N93" s="38" t="inlineStr">
        <is>
          <t>Mobile phone</t>
        </is>
      </c>
      <c r="O93" s="40">
        <f>IF(AND($B93&gt;=CurMonthStart,$B93&lt;=CurMonthEnd),$K93,0)</f>
        <v/>
      </c>
    </row>
    <row r="94">
      <c r="A94" s="38">
        <f>ROW()-5</f>
        <v/>
      </c>
      <c r="B94" s="39" t="n">
        <v>46049</v>
      </c>
      <c r="C94" s="38" t="inlineStr">
        <is>
          <t>State Farm Insurance</t>
        </is>
      </c>
      <c r="D94" s="38">
        <f>IFERROR(INDEX(Dim_Vendor[VendorID],MATCH($C94,Dim_Vendor[VendorName],0)),"")</f>
        <v/>
      </c>
      <c r="E94" s="38" t="inlineStr">
        <is>
          <t>Insurance</t>
        </is>
      </c>
      <c r="F94" s="38">
        <f>IFERROR(INDEX(Dim_Category[CategoryID],MATCH($E94,Dim_Category[CategoryName],0)),"")</f>
        <v/>
      </c>
      <c r="G94" s="38" t="inlineStr">
        <is>
          <t>Checking</t>
        </is>
      </c>
      <c r="H94" s="38">
        <f>IFERROR(INDEX(Dim_Account[AccountID],MATCH($G94,Dim_Account[AccountName],0)),"")</f>
        <v/>
      </c>
      <c r="I94" s="38" t="inlineStr">
        <is>
          <t>ACH</t>
        </is>
      </c>
      <c r="J94" s="38">
        <f>IFERROR(INDEX(Dim_PaymentMethod[PaymentMethodID],MATCH($I94,Dim_PaymentMethod[MethodName],0)),"")</f>
        <v/>
      </c>
      <c r="K94" s="40" t="n">
        <v>136.66</v>
      </c>
      <c r="L94" s="38" t="inlineStr">
        <is>
          <t>Need</t>
        </is>
      </c>
      <c r="M94" s="38" t="inlineStr">
        <is>
          <t>Yes</t>
        </is>
      </c>
      <c r="N94" s="38" t="inlineStr">
        <is>
          <t>Auto + home insurance</t>
        </is>
      </c>
      <c r="O94" s="40">
        <f>IF(AND($B94&gt;=CurMonthStart,$B94&lt;=CurMonthEnd),$K94,0)</f>
        <v/>
      </c>
    </row>
    <row r="95">
      <c r="A95" s="38">
        <f>ROW()-5</f>
        <v/>
      </c>
      <c r="B95" s="39" t="n">
        <v>46025</v>
      </c>
      <c r="C95" s="38" t="inlineStr">
        <is>
          <t>Kaiser Permanente</t>
        </is>
      </c>
      <c r="D95" s="38">
        <f>IFERROR(INDEX(Dim_Vendor[VendorID],MATCH($C95,Dim_Vendor[VendorName],0)),"")</f>
        <v/>
      </c>
      <c r="E95" s="38" t="inlineStr">
        <is>
          <t>Healthcare</t>
        </is>
      </c>
      <c r="F95" s="38">
        <f>IFERROR(INDEX(Dim_Category[CategoryID],MATCH($E95,Dim_Category[CategoryName],0)),"")</f>
        <v/>
      </c>
      <c r="G95" s="38" t="inlineStr">
        <is>
          <t>Credit Card</t>
        </is>
      </c>
      <c r="H95" s="38">
        <f>IFERROR(INDEX(Dim_Account[AccountID],MATCH($G95,Dim_Account[AccountName],0)),"")</f>
        <v/>
      </c>
      <c r="I95" s="38" t="inlineStr">
        <is>
          <t>Credit Card</t>
        </is>
      </c>
      <c r="J95" s="38">
        <f>IFERROR(INDEX(Dim_PaymentMethod[PaymentMethodID],MATCH($I95,Dim_PaymentMethod[MethodName],0)),"")</f>
        <v/>
      </c>
      <c r="K95" s="40" t="n">
        <v>43.18</v>
      </c>
      <c r="L95" s="38" t="inlineStr">
        <is>
          <t>Need</t>
        </is>
      </c>
      <c r="M95" s="38" t="inlineStr">
        <is>
          <t>No</t>
        </is>
      </c>
      <c r="N95" s="38" t="inlineStr">
        <is>
          <t>Copay</t>
        </is>
      </c>
      <c r="O95" s="40">
        <f>IF(AND($B95&gt;=CurMonthStart,$B95&lt;=CurMonthEnd),$K95,0)</f>
        <v/>
      </c>
    </row>
    <row r="96">
      <c r="A96" s="38">
        <f>ROW()-5</f>
        <v/>
      </c>
      <c r="B96" s="39" t="n">
        <v>46028</v>
      </c>
      <c r="C96" s="38" t="inlineStr">
        <is>
          <t>Chipotle</t>
        </is>
      </c>
      <c r="D96" s="38">
        <f>IFERROR(INDEX(Dim_Vendor[VendorID],MATCH($C96,Dim_Vendor[VendorName],0)),"")</f>
        <v/>
      </c>
      <c r="E96" s="38" t="inlineStr">
        <is>
          <t>Dining &amp; Entertainment</t>
        </is>
      </c>
      <c r="F96" s="38">
        <f>IFERROR(INDEX(Dim_Category[CategoryID],MATCH($E96,Dim_Category[CategoryName],0)),"")</f>
        <v/>
      </c>
      <c r="G96" s="38" t="inlineStr">
        <is>
          <t>Credit Card</t>
        </is>
      </c>
      <c r="H96" s="38">
        <f>IFERROR(INDEX(Dim_Account[AccountID],MATCH($G96,Dim_Account[AccountName],0)),"")</f>
        <v/>
      </c>
      <c r="I96" s="38" t="inlineStr">
        <is>
          <t>Credit Card</t>
        </is>
      </c>
      <c r="J96" s="38">
        <f>IFERROR(INDEX(Dim_PaymentMethod[PaymentMethodID],MATCH($I96,Dim_PaymentMethod[MethodName],0)),"")</f>
        <v/>
      </c>
      <c r="K96" s="40" t="n">
        <v>14.25</v>
      </c>
      <c r="L96" s="38" t="inlineStr">
        <is>
          <t>Want</t>
        </is>
      </c>
      <c r="M96" s="38" t="inlineStr">
        <is>
          <t>No</t>
        </is>
      </c>
      <c r="N96" s="38" t="inlineStr"/>
      <c r="O96" s="40">
        <f>IF(AND($B96&gt;=CurMonthStart,$B96&lt;=CurMonthEnd),$K96,0)</f>
        <v/>
      </c>
    </row>
    <row r="97">
      <c r="A97" s="38">
        <f>ROW()-5</f>
        <v/>
      </c>
      <c r="B97" s="39" t="n">
        <v>46031</v>
      </c>
      <c r="C97" s="38" t="inlineStr">
        <is>
          <t>Netflix</t>
        </is>
      </c>
      <c r="D97" s="38">
        <f>IFERROR(INDEX(Dim_Vendor[VendorID],MATCH($C97,Dim_Vendor[VendorName],0)),"")</f>
        <v/>
      </c>
      <c r="E97" s="38" t="inlineStr">
        <is>
          <t>Dining &amp; Entertainment</t>
        </is>
      </c>
      <c r="F97" s="38">
        <f>IFERROR(INDEX(Dim_Category[CategoryID],MATCH($E97,Dim_Category[CategoryName],0)),"")</f>
        <v/>
      </c>
      <c r="G97" s="38" t="inlineStr">
        <is>
          <t>Credit Card</t>
        </is>
      </c>
      <c r="H97" s="38">
        <f>IFERROR(INDEX(Dim_Account[AccountID],MATCH($G97,Dim_Account[AccountName],0)),"")</f>
        <v/>
      </c>
      <c r="I97" s="38" t="inlineStr">
        <is>
          <t>Credit Card</t>
        </is>
      </c>
      <c r="J97" s="38">
        <f>IFERROR(INDEX(Dim_PaymentMethod[PaymentMethodID],MATCH($I97,Dim_PaymentMethod[MethodName],0)),"")</f>
        <v/>
      </c>
      <c r="K97" s="40" t="n">
        <v>15.49</v>
      </c>
      <c r="L97" s="38" t="inlineStr">
        <is>
          <t>Want</t>
        </is>
      </c>
      <c r="M97" s="38" t="inlineStr">
        <is>
          <t>Yes</t>
        </is>
      </c>
      <c r="N97" s="38" t="inlineStr">
        <is>
          <t>Streaming subscription</t>
        </is>
      </c>
      <c r="O97" s="40">
        <f>IF(AND($B97&gt;=CurMonthStart,$B97&lt;=CurMonthEnd),$K97,0)</f>
        <v/>
      </c>
    </row>
    <row r="98">
      <c r="A98" s="38">
        <f>ROW()-5</f>
        <v/>
      </c>
      <c r="B98" s="39" t="n">
        <v>46034</v>
      </c>
      <c r="C98" s="38" t="inlineStr">
        <is>
          <t>AMC Theatres</t>
        </is>
      </c>
      <c r="D98" s="38">
        <f>IFERROR(INDEX(Dim_Vendor[VendorID],MATCH($C98,Dim_Vendor[VendorName],0)),"")</f>
        <v/>
      </c>
      <c r="E98" s="38" t="inlineStr">
        <is>
          <t>Dining &amp; Entertainment</t>
        </is>
      </c>
      <c r="F98" s="38">
        <f>IFERROR(INDEX(Dim_Category[CategoryID],MATCH($E98,Dim_Category[CategoryName],0)),"")</f>
        <v/>
      </c>
      <c r="G98" s="38" t="inlineStr">
        <is>
          <t>Credit Card</t>
        </is>
      </c>
      <c r="H98" s="38">
        <f>IFERROR(INDEX(Dim_Account[AccountID],MATCH($G98,Dim_Account[AccountName],0)),"")</f>
        <v/>
      </c>
      <c r="I98" s="38" t="inlineStr">
        <is>
          <t>Credit Card</t>
        </is>
      </c>
      <c r="J98" s="38">
        <f>IFERROR(INDEX(Dim_PaymentMethod[PaymentMethodID],MATCH($I98,Dim_PaymentMethod[MethodName],0)),"")</f>
        <v/>
      </c>
      <c r="K98" s="40" t="n">
        <v>32.31</v>
      </c>
      <c r="L98" s="38" t="inlineStr">
        <is>
          <t>Want</t>
        </is>
      </c>
      <c r="M98" s="38" t="inlineStr">
        <is>
          <t>No</t>
        </is>
      </c>
      <c r="N98" s="38" t="inlineStr"/>
      <c r="O98" s="40">
        <f>IF(AND($B98&gt;=CurMonthStart,$B98&lt;=CurMonthEnd),$K98,0)</f>
        <v/>
      </c>
    </row>
    <row r="99">
      <c r="A99" s="38">
        <f>ROW()-5</f>
        <v/>
      </c>
      <c r="B99" s="39" t="n">
        <v>46037</v>
      </c>
      <c r="C99" s="38" t="inlineStr">
        <is>
          <t>Planet Fitness</t>
        </is>
      </c>
      <c r="D99" s="38">
        <f>IFERROR(INDEX(Dim_Vendor[VendorID],MATCH($C99,Dim_Vendor[VendorName],0)),"")</f>
        <v/>
      </c>
      <c r="E99" s="38" t="inlineStr">
        <is>
          <t>Personal Care</t>
        </is>
      </c>
      <c r="F99" s="38">
        <f>IFERROR(INDEX(Dim_Category[CategoryID],MATCH($E99,Dim_Category[CategoryName],0)),"")</f>
        <v/>
      </c>
      <c r="G99" s="38" t="inlineStr">
        <is>
          <t>Checking</t>
        </is>
      </c>
      <c r="H99" s="38">
        <f>IFERROR(INDEX(Dim_Account[AccountID],MATCH($G99,Dim_Account[AccountName],0)),"")</f>
        <v/>
      </c>
      <c r="I99" s="38" t="inlineStr">
        <is>
          <t>ACH</t>
        </is>
      </c>
      <c r="J99" s="38">
        <f>IFERROR(INDEX(Dim_PaymentMethod[PaymentMethodID],MATCH($I99,Dim_PaymentMethod[MethodName],0)),"")</f>
        <v/>
      </c>
      <c r="K99" s="40" t="n">
        <v>24.04</v>
      </c>
      <c r="L99" s="38" t="inlineStr">
        <is>
          <t>Want</t>
        </is>
      </c>
      <c r="M99" s="38" t="inlineStr">
        <is>
          <t>Yes</t>
        </is>
      </c>
      <c r="N99" s="38" t="inlineStr">
        <is>
          <t>Gym membership</t>
        </is>
      </c>
      <c r="O99" s="40">
        <f>IF(AND($B99&gt;=CurMonthStart,$B99&lt;=CurMonthEnd),$K99,0)</f>
        <v/>
      </c>
    </row>
    <row r="100">
      <c r="A100" s="38">
        <f>ROW()-5</f>
        <v/>
      </c>
      <c r="B100" s="39" t="n">
        <v>46040</v>
      </c>
      <c r="C100" s="38" t="inlineStr">
        <is>
          <t>Amazon</t>
        </is>
      </c>
      <c r="D100" s="38">
        <f>IFERROR(INDEX(Dim_Vendor[VendorID],MATCH($C100,Dim_Vendor[VendorName],0)),"")</f>
        <v/>
      </c>
      <c r="E100" s="38" t="inlineStr">
        <is>
          <t>Shopping</t>
        </is>
      </c>
      <c r="F100" s="38">
        <f>IFERROR(INDEX(Dim_Category[CategoryID],MATCH($E100,Dim_Category[CategoryName],0)),"")</f>
        <v/>
      </c>
      <c r="G100" s="38" t="inlineStr">
        <is>
          <t>Credit Card</t>
        </is>
      </c>
      <c r="H100" s="38">
        <f>IFERROR(INDEX(Dim_Account[AccountID],MATCH($G100,Dim_Account[AccountName],0)),"")</f>
        <v/>
      </c>
      <c r="I100" s="38" t="inlineStr">
        <is>
          <t>Credit Card</t>
        </is>
      </c>
      <c r="J100" s="38">
        <f>IFERROR(INDEX(Dim_PaymentMethod[PaymentMethodID],MATCH($I100,Dim_PaymentMethod[MethodName],0)),"")</f>
        <v/>
      </c>
      <c r="K100" s="40" t="n">
        <v>69.40000000000001</v>
      </c>
      <c r="L100" s="38" t="inlineStr">
        <is>
          <t>Want</t>
        </is>
      </c>
      <c r="M100" s="38" t="inlineStr">
        <is>
          <t>No</t>
        </is>
      </c>
      <c r="N100" s="38" t="inlineStr"/>
      <c r="O100" s="40">
        <f>IF(AND($B100&gt;=CurMonthStart,$B100&lt;=CurMonthEnd),$K100,0)</f>
        <v/>
      </c>
    </row>
    <row r="101">
      <c r="A101" s="38">
        <f>ROW()-5</f>
        <v/>
      </c>
      <c r="B101" s="39" t="n">
        <v>46043</v>
      </c>
      <c r="C101" s="38" t="inlineStr">
        <is>
          <t>Target</t>
        </is>
      </c>
      <c r="D101" s="38">
        <f>IFERROR(INDEX(Dim_Vendor[VendorID],MATCH($C101,Dim_Vendor[VendorName],0)),"")</f>
        <v/>
      </c>
      <c r="E101" s="38" t="inlineStr">
        <is>
          <t>Shopping</t>
        </is>
      </c>
      <c r="F101" s="38">
        <f>IFERROR(INDEX(Dim_Category[CategoryID],MATCH($E101,Dim_Category[CategoryName],0)),"")</f>
        <v/>
      </c>
      <c r="G101" s="38" t="inlineStr">
        <is>
          <t>Credit Card</t>
        </is>
      </c>
      <c r="H101" s="38">
        <f>IFERROR(INDEX(Dim_Account[AccountID],MATCH($G101,Dim_Account[AccountName],0)),"")</f>
        <v/>
      </c>
      <c r="I101" s="38" t="inlineStr">
        <is>
          <t>Credit Card</t>
        </is>
      </c>
      <c r="J101" s="38">
        <f>IFERROR(INDEX(Dim_PaymentMethod[PaymentMethodID],MATCH($I101,Dim_PaymentMethod[MethodName],0)),"")</f>
        <v/>
      </c>
      <c r="K101" s="40" t="n">
        <v>57.78</v>
      </c>
      <c r="L101" s="38" t="inlineStr">
        <is>
          <t>Want</t>
        </is>
      </c>
      <c r="M101" s="38" t="inlineStr">
        <is>
          <t>No</t>
        </is>
      </c>
      <c r="N101" s="38" t="inlineStr"/>
      <c r="O101" s="40">
        <f>IF(AND($B101&gt;=CurMonthStart,$B101&lt;=CurMonthEnd),$K101,0)</f>
        <v/>
      </c>
    </row>
    <row r="102">
      <c r="A102" s="38">
        <f>ROW()-5</f>
        <v/>
      </c>
      <c r="B102" s="39" t="n">
        <v>46056</v>
      </c>
      <c r="C102" s="38" t="inlineStr">
        <is>
          <t>Mortgage Lender</t>
        </is>
      </c>
      <c r="D102" s="38">
        <f>IFERROR(INDEX(Dim_Vendor[VendorID],MATCH($C102,Dim_Vendor[VendorName],0)),"")</f>
        <v/>
      </c>
      <c r="E102" s="38" t="inlineStr">
        <is>
          <t>Mortgage</t>
        </is>
      </c>
      <c r="F102" s="38">
        <f>IFERROR(INDEX(Dim_Category[CategoryID],MATCH($E102,Dim_Category[CategoryName],0)),"")</f>
        <v/>
      </c>
      <c r="G102" s="38" t="inlineStr">
        <is>
          <t>Checking</t>
        </is>
      </c>
      <c r="H102" s="38">
        <f>IFERROR(INDEX(Dim_Account[AccountID],MATCH($G102,Dim_Account[AccountName],0)),"")</f>
        <v/>
      </c>
      <c r="I102" s="38" t="inlineStr">
        <is>
          <t>ACH</t>
        </is>
      </c>
      <c r="J102" s="38">
        <f>IFERROR(INDEX(Dim_PaymentMethod[PaymentMethodID],MATCH($I102,Dim_PaymentMethod[MethodName],0)),"")</f>
        <v/>
      </c>
      <c r="K102" s="40" t="n">
        <v>2115.39</v>
      </c>
      <c r="L102" s="38" t="inlineStr">
        <is>
          <t>Need</t>
        </is>
      </c>
      <c r="M102" s="38" t="inlineStr">
        <is>
          <t>Yes</t>
        </is>
      </c>
      <c r="N102" s="38" t="inlineStr">
        <is>
          <t>Monthly mortgage payment</t>
        </is>
      </c>
      <c r="O102" s="40">
        <f>IF(AND($B102&gt;=CurMonthStart,$B102&lt;=CurMonthEnd),$K102,0)</f>
        <v/>
      </c>
    </row>
    <row r="103">
      <c r="A103" s="38">
        <f>ROW()-5</f>
        <v/>
      </c>
      <c r="B103" s="39" t="n">
        <v>46059</v>
      </c>
      <c r="C103" s="38" t="inlineStr">
        <is>
          <t>Whole Foods</t>
        </is>
      </c>
      <c r="D103" s="38">
        <f>IFERROR(INDEX(Dim_Vendor[VendorID],MATCH($C103,Dim_Vendor[VendorName],0)),"")</f>
        <v/>
      </c>
      <c r="E103" s="38" t="inlineStr">
        <is>
          <t>Groceries</t>
        </is>
      </c>
      <c r="F103" s="38">
        <f>IFERROR(INDEX(Dim_Category[CategoryID],MATCH($E103,Dim_Category[CategoryName],0)),"")</f>
        <v/>
      </c>
      <c r="G103" s="38" t="inlineStr">
        <is>
          <t>Credit Card</t>
        </is>
      </c>
      <c r="H103" s="38">
        <f>IFERROR(INDEX(Dim_Account[AccountID],MATCH($G103,Dim_Account[AccountName],0)),"")</f>
        <v/>
      </c>
      <c r="I103" s="38" t="inlineStr">
        <is>
          <t>Credit Card</t>
        </is>
      </c>
      <c r="J103" s="38">
        <f>IFERROR(INDEX(Dim_PaymentMethod[PaymentMethodID],MATCH($I103,Dim_PaymentMethod[MethodName],0)),"")</f>
        <v/>
      </c>
      <c r="K103" s="40" t="n">
        <v>178.05</v>
      </c>
      <c r="L103" s="38" t="inlineStr">
        <is>
          <t>Need</t>
        </is>
      </c>
      <c r="M103" s="38" t="inlineStr">
        <is>
          <t>No</t>
        </is>
      </c>
      <c r="N103" s="38" t="inlineStr"/>
      <c r="O103" s="40">
        <f>IF(AND($B103&gt;=CurMonthStart,$B103&lt;=CurMonthEnd),$K103,0)</f>
        <v/>
      </c>
    </row>
    <row r="104">
      <c r="A104" s="38">
        <f>ROW()-5</f>
        <v/>
      </c>
      <c r="B104" s="39" t="n">
        <v>46062</v>
      </c>
      <c r="C104" s="38" t="inlineStr">
        <is>
          <t>Costco</t>
        </is>
      </c>
      <c r="D104" s="38">
        <f>IFERROR(INDEX(Dim_Vendor[VendorID],MATCH($C104,Dim_Vendor[VendorName],0)),"")</f>
        <v/>
      </c>
      <c r="E104" s="38" t="inlineStr">
        <is>
          <t>Groceries</t>
        </is>
      </c>
      <c r="F104" s="38">
        <f>IFERROR(INDEX(Dim_Category[CategoryID],MATCH($E104,Dim_Category[CategoryName],0)),"")</f>
        <v/>
      </c>
      <c r="G104" s="38" t="inlineStr">
        <is>
          <t>Credit Card</t>
        </is>
      </c>
      <c r="H104" s="38">
        <f>IFERROR(INDEX(Dim_Account[AccountID],MATCH($G104,Dim_Account[AccountName],0)),"")</f>
        <v/>
      </c>
      <c r="I104" s="38" t="inlineStr">
        <is>
          <t>Credit Card</t>
        </is>
      </c>
      <c r="J104" s="38">
        <f>IFERROR(INDEX(Dim_PaymentMethod[PaymentMethodID],MATCH($I104,Dim_PaymentMethod[MethodName],0)),"")</f>
        <v/>
      </c>
      <c r="K104" s="40" t="n">
        <v>264.61</v>
      </c>
      <c r="L104" s="38" t="inlineStr">
        <is>
          <t>Need</t>
        </is>
      </c>
      <c r="M104" s="38" t="inlineStr">
        <is>
          <t>No</t>
        </is>
      </c>
      <c r="N104" s="38" t="inlineStr">
        <is>
          <t>Bulk groceries</t>
        </is>
      </c>
      <c r="O104" s="40">
        <f>IF(AND($B104&gt;=CurMonthStart,$B104&lt;=CurMonthEnd),$K104,0)</f>
        <v/>
      </c>
    </row>
    <row r="105">
      <c r="A105" s="38">
        <f>ROW()-5</f>
        <v/>
      </c>
      <c r="B105" s="39" t="n">
        <v>46065</v>
      </c>
      <c r="C105" s="38" t="inlineStr">
        <is>
          <t>Shell Gas Station</t>
        </is>
      </c>
      <c r="D105" s="38">
        <f>IFERROR(INDEX(Dim_Vendor[VendorID],MATCH($C105,Dim_Vendor[VendorName],0)),"")</f>
        <v/>
      </c>
      <c r="E105" s="38" t="inlineStr">
        <is>
          <t>Car</t>
        </is>
      </c>
      <c r="F105" s="38">
        <f>IFERROR(INDEX(Dim_Category[CategoryID],MATCH($E105,Dim_Category[CategoryName],0)),"")</f>
        <v/>
      </c>
      <c r="G105" s="38" t="inlineStr">
        <is>
          <t>Credit Card</t>
        </is>
      </c>
      <c r="H105" s="38">
        <f>IFERROR(INDEX(Dim_Account[AccountID],MATCH($G105,Dim_Account[AccountName],0)),"")</f>
        <v/>
      </c>
      <c r="I105" s="38" t="inlineStr">
        <is>
          <t>Credit Card</t>
        </is>
      </c>
      <c r="J105" s="38">
        <f>IFERROR(INDEX(Dim_PaymentMethod[PaymentMethodID],MATCH($I105,Dim_PaymentMethod[MethodName],0)),"")</f>
        <v/>
      </c>
      <c r="K105" s="40" t="n">
        <v>52.38</v>
      </c>
      <c r="L105" s="38" t="inlineStr">
        <is>
          <t>Need</t>
        </is>
      </c>
      <c r="M105" s="38" t="inlineStr">
        <is>
          <t>No</t>
        </is>
      </c>
      <c r="N105" s="38" t="inlineStr">
        <is>
          <t>Gas</t>
        </is>
      </c>
      <c r="O105" s="40">
        <f>IF(AND($B105&gt;=CurMonthStart,$B105&lt;=CurMonthEnd),$K105,0)</f>
        <v/>
      </c>
    </row>
    <row r="106">
      <c r="A106" s="38">
        <f>ROW()-5</f>
        <v/>
      </c>
      <c r="B106" s="39" t="n">
        <v>46068</v>
      </c>
      <c r="C106" s="38" t="inlineStr">
        <is>
          <t>AutoZone</t>
        </is>
      </c>
      <c r="D106" s="38">
        <f>IFERROR(INDEX(Dim_Vendor[VendorID],MATCH($C106,Dim_Vendor[VendorName],0)),"")</f>
        <v/>
      </c>
      <c r="E106" s="38" t="inlineStr">
        <is>
          <t>Car</t>
        </is>
      </c>
      <c r="F106" s="38">
        <f>IFERROR(INDEX(Dim_Category[CategoryID],MATCH($E106,Dim_Category[CategoryName],0)),"")</f>
        <v/>
      </c>
      <c r="G106" s="38" t="inlineStr">
        <is>
          <t>Credit Card</t>
        </is>
      </c>
      <c r="H106" s="38">
        <f>IFERROR(INDEX(Dim_Account[AccountID],MATCH($G106,Dim_Account[AccountName],0)),"")</f>
        <v/>
      </c>
      <c r="I106" s="38" t="inlineStr">
        <is>
          <t>Credit Card</t>
        </is>
      </c>
      <c r="J106" s="38">
        <f>IFERROR(INDEX(Dim_PaymentMethod[PaymentMethodID],MATCH($I106,Dim_PaymentMethod[MethodName],0)),"")</f>
        <v/>
      </c>
      <c r="K106" s="40" t="n">
        <v>36.21</v>
      </c>
      <c r="L106" s="38" t="inlineStr">
        <is>
          <t>Need</t>
        </is>
      </c>
      <c r="M106" s="38" t="inlineStr">
        <is>
          <t>No</t>
        </is>
      </c>
      <c r="N106" s="38" t="inlineStr">
        <is>
          <t>Wiper blades / oil</t>
        </is>
      </c>
      <c r="O106" s="40">
        <f>IF(AND($B106&gt;=CurMonthStart,$B106&lt;=CurMonthEnd),$K106,0)</f>
        <v/>
      </c>
    </row>
    <row r="107">
      <c r="A107" s="38">
        <f>ROW()-5</f>
        <v/>
      </c>
      <c r="B107" s="39" t="n">
        <v>46071</v>
      </c>
      <c r="C107" s="38" t="inlineStr">
        <is>
          <t>City Electric Co</t>
        </is>
      </c>
      <c r="D107" s="38">
        <f>IFERROR(INDEX(Dim_Vendor[VendorID],MATCH($C107,Dim_Vendor[VendorName],0)),"")</f>
        <v/>
      </c>
      <c r="E107" s="38" t="inlineStr">
        <is>
          <t>Utilities</t>
        </is>
      </c>
      <c r="F107" s="38">
        <f>IFERROR(INDEX(Dim_Category[CategoryID],MATCH($E107,Dim_Category[CategoryName],0)),"")</f>
        <v/>
      </c>
      <c r="G107" s="38" t="inlineStr">
        <is>
          <t>Checking</t>
        </is>
      </c>
      <c r="H107" s="38">
        <f>IFERROR(INDEX(Dim_Account[AccountID],MATCH($G107,Dim_Account[AccountName],0)),"")</f>
        <v/>
      </c>
      <c r="I107" s="38" t="inlineStr">
        <is>
          <t>ACH</t>
        </is>
      </c>
      <c r="J107" s="38">
        <f>IFERROR(INDEX(Dim_PaymentMethod[PaymentMethodID],MATCH($I107,Dim_PaymentMethod[MethodName],0)),"")</f>
        <v/>
      </c>
      <c r="K107" s="40" t="n">
        <v>119.28</v>
      </c>
      <c r="L107" s="38" t="inlineStr">
        <is>
          <t>Need</t>
        </is>
      </c>
      <c r="M107" s="38" t="inlineStr">
        <is>
          <t>Yes</t>
        </is>
      </c>
      <c r="N107" s="38" t="inlineStr"/>
      <c r="O107" s="40">
        <f>IF(AND($B107&gt;=CurMonthStart,$B107&lt;=CurMonthEnd),$K107,0)</f>
        <v/>
      </c>
    </row>
    <row r="108">
      <c r="A108" s="38">
        <f>ROW()-5</f>
        <v/>
      </c>
      <c r="B108" s="39" t="n">
        <v>46074</v>
      </c>
      <c r="C108" s="38" t="inlineStr">
        <is>
          <t>Comcast Xfinity</t>
        </is>
      </c>
      <c r="D108" s="38">
        <f>IFERROR(INDEX(Dim_Vendor[VendorID],MATCH($C108,Dim_Vendor[VendorName],0)),"")</f>
        <v/>
      </c>
      <c r="E108" s="38" t="inlineStr">
        <is>
          <t>Utilities</t>
        </is>
      </c>
      <c r="F108" s="38">
        <f>IFERROR(INDEX(Dim_Category[CategoryID],MATCH($E108,Dim_Category[CategoryName],0)),"")</f>
        <v/>
      </c>
      <c r="G108" s="38" t="inlineStr">
        <is>
          <t>Checking</t>
        </is>
      </c>
      <c r="H108" s="38">
        <f>IFERROR(INDEX(Dim_Account[AccountID],MATCH($G108,Dim_Account[AccountName],0)),"")</f>
        <v/>
      </c>
      <c r="I108" s="38" t="inlineStr">
        <is>
          <t>ACH</t>
        </is>
      </c>
      <c r="J108" s="38">
        <f>IFERROR(INDEX(Dim_PaymentMethod[PaymentMethodID],MATCH($I108,Dim_PaymentMethod[MethodName],0)),"")</f>
        <v/>
      </c>
      <c r="K108" s="40" t="n">
        <v>74.98999999999999</v>
      </c>
      <c r="L108" s="38" t="inlineStr">
        <is>
          <t>Need</t>
        </is>
      </c>
      <c r="M108" s="38" t="inlineStr">
        <is>
          <t>Yes</t>
        </is>
      </c>
      <c r="N108" s="38" t="inlineStr">
        <is>
          <t>Internet</t>
        </is>
      </c>
      <c r="O108" s="40">
        <f>IF(AND($B108&gt;=CurMonthStart,$B108&lt;=CurMonthEnd),$K108,0)</f>
        <v/>
      </c>
    </row>
    <row r="109">
      <c r="A109" s="38">
        <f>ROW()-5</f>
        <v/>
      </c>
      <c r="B109" s="39" t="n">
        <v>46077</v>
      </c>
      <c r="C109" s="38" t="inlineStr">
        <is>
          <t>Verizon Wireless</t>
        </is>
      </c>
      <c r="D109" s="38">
        <f>IFERROR(INDEX(Dim_Vendor[VendorID],MATCH($C109,Dim_Vendor[VendorName],0)),"")</f>
        <v/>
      </c>
      <c r="E109" s="38" t="inlineStr">
        <is>
          <t>Utilities</t>
        </is>
      </c>
      <c r="F109" s="38">
        <f>IFERROR(INDEX(Dim_Category[CategoryID],MATCH($E109,Dim_Category[CategoryName],0)),"")</f>
        <v/>
      </c>
      <c r="G109" s="38" t="inlineStr">
        <is>
          <t>Checking</t>
        </is>
      </c>
      <c r="H109" s="38">
        <f>IFERROR(INDEX(Dim_Account[AccountID],MATCH($G109,Dim_Account[AccountName],0)),"")</f>
        <v/>
      </c>
      <c r="I109" s="38" t="inlineStr">
        <is>
          <t>ACH</t>
        </is>
      </c>
      <c r="J109" s="38">
        <f>IFERROR(INDEX(Dim_PaymentMethod[PaymentMethodID],MATCH($I109,Dim_PaymentMethod[MethodName],0)),"")</f>
        <v/>
      </c>
      <c r="K109" s="40" t="n">
        <v>96.94</v>
      </c>
      <c r="L109" s="38" t="inlineStr">
        <is>
          <t>Need</t>
        </is>
      </c>
      <c r="M109" s="38" t="inlineStr">
        <is>
          <t>Yes</t>
        </is>
      </c>
      <c r="N109" s="38" t="inlineStr">
        <is>
          <t>Mobile phone</t>
        </is>
      </c>
      <c r="O109" s="40">
        <f>IF(AND($B109&gt;=CurMonthStart,$B109&lt;=CurMonthEnd),$K109,0)</f>
        <v/>
      </c>
    </row>
    <row r="110">
      <c r="A110" s="38">
        <f>ROW()-5</f>
        <v/>
      </c>
      <c r="B110" s="39" t="n">
        <v>46080</v>
      </c>
      <c r="C110" s="38" t="inlineStr">
        <is>
          <t>State Farm Insurance</t>
        </is>
      </c>
      <c r="D110" s="38">
        <f>IFERROR(INDEX(Dim_Vendor[VendorID],MATCH($C110,Dim_Vendor[VendorName],0)),"")</f>
        <v/>
      </c>
      <c r="E110" s="38" t="inlineStr">
        <is>
          <t>Insurance</t>
        </is>
      </c>
      <c r="F110" s="38">
        <f>IFERROR(INDEX(Dim_Category[CategoryID],MATCH($E110,Dim_Category[CategoryName],0)),"")</f>
        <v/>
      </c>
      <c r="G110" s="38" t="inlineStr">
        <is>
          <t>Checking</t>
        </is>
      </c>
      <c r="H110" s="38">
        <f>IFERROR(INDEX(Dim_Account[AccountID],MATCH($G110,Dim_Account[AccountName],0)),"")</f>
        <v/>
      </c>
      <c r="I110" s="38" t="inlineStr">
        <is>
          <t>ACH</t>
        </is>
      </c>
      <c r="J110" s="38">
        <f>IFERROR(INDEX(Dim_PaymentMethod[PaymentMethodID],MATCH($I110,Dim_PaymentMethod[MethodName],0)),"")</f>
        <v/>
      </c>
      <c r="K110" s="40" t="n">
        <v>148.64</v>
      </c>
      <c r="L110" s="38" t="inlineStr">
        <is>
          <t>Need</t>
        </is>
      </c>
      <c r="M110" s="38" t="inlineStr">
        <is>
          <t>Yes</t>
        </is>
      </c>
      <c r="N110" s="38" t="inlineStr">
        <is>
          <t>Auto + home insurance</t>
        </is>
      </c>
      <c r="O110" s="40">
        <f>IF(AND($B110&gt;=CurMonthStart,$B110&lt;=CurMonthEnd),$K110,0)</f>
        <v/>
      </c>
    </row>
    <row r="111">
      <c r="A111" s="38">
        <f>ROW()-5</f>
        <v/>
      </c>
      <c r="B111" s="39" t="n">
        <v>46056</v>
      </c>
      <c r="C111" s="38" t="inlineStr">
        <is>
          <t>Kaiser Permanente</t>
        </is>
      </c>
      <c r="D111" s="38">
        <f>IFERROR(INDEX(Dim_Vendor[VendorID],MATCH($C111,Dim_Vendor[VendorName],0)),"")</f>
        <v/>
      </c>
      <c r="E111" s="38" t="inlineStr">
        <is>
          <t>Healthcare</t>
        </is>
      </c>
      <c r="F111" s="38">
        <f>IFERROR(INDEX(Dim_Category[CategoryID],MATCH($E111,Dim_Category[CategoryName],0)),"")</f>
        <v/>
      </c>
      <c r="G111" s="38" t="inlineStr">
        <is>
          <t>Credit Card</t>
        </is>
      </c>
      <c r="H111" s="38">
        <f>IFERROR(INDEX(Dim_Account[AccountID],MATCH($G111,Dim_Account[AccountName],0)),"")</f>
        <v/>
      </c>
      <c r="I111" s="38" t="inlineStr">
        <is>
          <t>Credit Card</t>
        </is>
      </c>
      <c r="J111" s="38">
        <f>IFERROR(INDEX(Dim_PaymentMethod[PaymentMethodID],MATCH($I111,Dim_PaymentMethod[MethodName],0)),"")</f>
        <v/>
      </c>
      <c r="K111" s="40" t="n">
        <v>44.44</v>
      </c>
      <c r="L111" s="38" t="inlineStr">
        <is>
          <t>Need</t>
        </is>
      </c>
      <c r="M111" s="38" t="inlineStr">
        <is>
          <t>No</t>
        </is>
      </c>
      <c r="N111" s="38" t="inlineStr">
        <is>
          <t>Copay</t>
        </is>
      </c>
      <c r="O111" s="40">
        <f>IF(AND($B111&gt;=CurMonthStart,$B111&lt;=CurMonthEnd),$K111,0)</f>
        <v/>
      </c>
    </row>
    <row r="112">
      <c r="A112" s="38">
        <f>ROW()-5</f>
        <v/>
      </c>
      <c r="B112" s="39" t="n">
        <v>46059</v>
      </c>
      <c r="C112" s="38" t="inlineStr">
        <is>
          <t>Chipotle</t>
        </is>
      </c>
      <c r="D112" s="38">
        <f>IFERROR(INDEX(Dim_Vendor[VendorID],MATCH($C112,Dim_Vendor[VendorName],0)),"")</f>
        <v/>
      </c>
      <c r="E112" s="38" t="inlineStr">
        <is>
          <t>Dining &amp; Entertainment</t>
        </is>
      </c>
      <c r="F112" s="38">
        <f>IFERROR(INDEX(Dim_Category[CategoryID],MATCH($E112,Dim_Category[CategoryName],0)),"")</f>
        <v/>
      </c>
      <c r="G112" s="38" t="inlineStr">
        <is>
          <t>Credit Card</t>
        </is>
      </c>
      <c r="H112" s="38">
        <f>IFERROR(INDEX(Dim_Account[AccountID],MATCH($G112,Dim_Account[AccountName],0)),"")</f>
        <v/>
      </c>
      <c r="I112" s="38" t="inlineStr">
        <is>
          <t>Credit Card</t>
        </is>
      </c>
      <c r="J112" s="38">
        <f>IFERROR(INDEX(Dim_PaymentMethod[PaymentMethodID],MATCH($I112,Dim_PaymentMethod[MethodName],0)),"")</f>
        <v/>
      </c>
      <c r="K112" s="40" t="n">
        <v>14.25</v>
      </c>
      <c r="L112" s="38" t="inlineStr">
        <is>
          <t>Want</t>
        </is>
      </c>
      <c r="M112" s="38" t="inlineStr">
        <is>
          <t>No</t>
        </is>
      </c>
      <c r="N112" s="38" t="inlineStr"/>
      <c r="O112" s="40">
        <f>IF(AND($B112&gt;=CurMonthStart,$B112&lt;=CurMonthEnd),$K112,0)</f>
        <v/>
      </c>
    </row>
    <row r="113">
      <c r="A113" s="38">
        <f>ROW()-5</f>
        <v/>
      </c>
      <c r="B113" s="39" t="n">
        <v>46062</v>
      </c>
      <c r="C113" s="38" t="inlineStr">
        <is>
          <t>Netflix</t>
        </is>
      </c>
      <c r="D113" s="38">
        <f>IFERROR(INDEX(Dim_Vendor[VendorID],MATCH($C113,Dim_Vendor[VendorName],0)),"")</f>
        <v/>
      </c>
      <c r="E113" s="38" t="inlineStr">
        <is>
          <t>Dining &amp; Entertainment</t>
        </is>
      </c>
      <c r="F113" s="38">
        <f>IFERROR(INDEX(Dim_Category[CategoryID],MATCH($E113,Dim_Category[CategoryName],0)),"")</f>
        <v/>
      </c>
      <c r="G113" s="38" t="inlineStr">
        <is>
          <t>Credit Card</t>
        </is>
      </c>
      <c r="H113" s="38">
        <f>IFERROR(INDEX(Dim_Account[AccountID],MATCH($G113,Dim_Account[AccountName],0)),"")</f>
        <v/>
      </c>
      <c r="I113" s="38" t="inlineStr">
        <is>
          <t>Credit Card</t>
        </is>
      </c>
      <c r="J113" s="38">
        <f>IFERROR(INDEX(Dim_PaymentMethod[PaymentMethodID],MATCH($I113,Dim_PaymentMethod[MethodName],0)),"")</f>
        <v/>
      </c>
      <c r="K113" s="40" t="n">
        <v>15.49</v>
      </c>
      <c r="L113" s="38" t="inlineStr">
        <is>
          <t>Want</t>
        </is>
      </c>
      <c r="M113" s="38" t="inlineStr">
        <is>
          <t>Yes</t>
        </is>
      </c>
      <c r="N113" s="38" t="inlineStr">
        <is>
          <t>Streaming subscription</t>
        </is>
      </c>
      <c r="O113" s="40">
        <f>IF(AND($B113&gt;=CurMonthStart,$B113&lt;=CurMonthEnd),$K113,0)</f>
        <v/>
      </c>
    </row>
    <row r="114">
      <c r="A114" s="38">
        <f>ROW()-5</f>
        <v/>
      </c>
      <c r="B114" s="39" t="n">
        <v>46065</v>
      </c>
      <c r="C114" s="38" t="inlineStr">
        <is>
          <t>AMC Theatres</t>
        </is>
      </c>
      <c r="D114" s="38">
        <f>IFERROR(INDEX(Dim_Vendor[VendorID],MATCH($C114,Dim_Vendor[VendorName],0)),"")</f>
        <v/>
      </c>
      <c r="E114" s="38" t="inlineStr">
        <is>
          <t>Dining &amp; Entertainment</t>
        </is>
      </c>
      <c r="F114" s="38">
        <f>IFERROR(INDEX(Dim_Category[CategoryID],MATCH($E114,Dim_Category[CategoryName],0)),"")</f>
        <v/>
      </c>
      <c r="G114" s="38" t="inlineStr">
        <is>
          <t>Credit Card</t>
        </is>
      </c>
      <c r="H114" s="38">
        <f>IFERROR(INDEX(Dim_Account[AccountID],MATCH($G114,Dim_Account[AccountName],0)),"")</f>
        <v/>
      </c>
      <c r="I114" s="38" t="inlineStr">
        <is>
          <t>Credit Card</t>
        </is>
      </c>
      <c r="J114" s="38">
        <f>IFERROR(INDEX(Dim_PaymentMethod[PaymentMethodID],MATCH($I114,Dim_PaymentMethod[MethodName],0)),"")</f>
        <v/>
      </c>
      <c r="K114" s="40" t="n">
        <v>29.77</v>
      </c>
      <c r="L114" s="38" t="inlineStr">
        <is>
          <t>Want</t>
        </is>
      </c>
      <c r="M114" s="38" t="inlineStr">
        <is>
          <t>No</t>
        </is>
      </c>
      <c r="N114" s="38" t="inlineStr"/>
      <c r="O114" s="40">
        <f>IF(AND($B114&gt;=CurMonthStart,$B114&lt;=CurMonthEnd),$K114,0)</f>
        <v/>
      </c>
    </row>
    <row r="115">
      <c r="A115" s="38">
        <f>ROW()-5</f>
        <v/>
      </c>
      <c r="B115" s="39" t="n">
        <v>46068</v>
      </c>
      <c r="C115" s="38" t="inlineStr">
        <is>
          <t>Planet Fitness</t>
        </is>
      </c>
      <c r="D115" s="38">
        <f>IFERROR(INDEX(Dim_Vendor[VendorID],MATCH($C115,Dim_Vendor[VendorName],0)),"")</f>
        <v/>
      </c>
      <c r="E115" s="38" t="inlineStr">
        <is>
          <t>Personal Care</t>
        </is>
      </c>
      <c r="F115" s="38">
        <f>IFERROR(INDEX(Dim_Category[CategoryID],MATCH($E115,Dim_Category[CategoryName],0)),"")</f>
        <v/>
      </c>
      <c r="G115" s="38" t="inlineStr">
        <is>
          <t>Checking</t>
        </is>
      </c>
      <c r="H115" s="38">
        <f>IFERROR(INDEX(Dim_Account[AccountID],MATCH($G115,Dim_Account[AccountName],0)),"")</f>
        <v/>
      </c>
      <c r="I115" s="38" t="inlineStr">
        <is>
          <t>ACH</t>
        </is>
      </c>
      <c r="J115" s="38">
        <f>IFERROR(INDEX(Dim_PaymentMethod[PaymentMethodID],MATCH($I115,Dim_PaymentMethod[MethodName],0)),"")</f>
        <v/>
      </c>
      <c r="K115" s="40" t="n">
        <v>24.52</v>
      </c>
      <c r="L115" s="38" t="inlineStr">
        <is>
          <t>Want</t>
        </is>
      </c>
      <c r="M115" s="38" t="inlineStr">
        <is>
          <t>Yes</t>
        </is>
      </c>
      <c r="N115" s="38" t="inlineStr">
        <is>
          <t>Gym membership</t>
        </is>
      </c>
      <c r="O115" s="40">
        <f>IF(AND($B115&gt;=CurMonthStart,$B115&lt;=CurMonthEnd),$K115,0)</f>
        <v/>
      </c>
    </row>
    <row r="116">
      <c r="A116" s="38">
        <f>ROW()-5</f>
        <v/>
      </c>
      <c r="B116" s="39" t="n">
        <v>46071</v>
      </c>
      <c r="C116" s="38" t="inlineStr">
        <is>
          <t>Amazon</t>
        </is>
      </c>
      <c r="D116" s="38">
        <f>IFERROR(INDEX(Dim_Vendor[VendorID],MATCH($C116,Dim_Vendor[VendorName],0)),"")</f>
        <v/>
      </c>
      <c r="E116" s="38" t="inlineStr">
        <is>
          <t>Shopping</t>
        </is>
      </c>
      <c r="F116" s="38">
        <f>IFERROR(INDEX(Dim_Category[CategoryID],MATCH($E116,Dim_Category[CategoryName],0)),"")</f>
        <v/>
      </c>
      <c r="G116" s="38" t="inlineStr">
        <is>
          <t>Credit Card</t>
        </is>
      </c>
      <c r="H116" s="38">
        <f>IFERROR(INDEX(Dim_Account[AccountID],MATCH($G116,Dim_Account[AccountName],0)),"")</f>
        <v/>
      </c>
      <c r="I116" s="38" t="inlineStr">
        <is>
          <t>Credit Card</t>
        </is>
      </c>
      <c r="J116" s="38">
        <f>IFERROR(INDEX(Dim_PaymentMethod[PaymentMethodID],MATCH($I116,Dim_PaymentMethod[MethodName],0)),"")</f>
        <v/>
      </c>
      <c r="K116" s="40" t="n">
        <v>73.91</v>
      </c>
      <c r="L116" s="38" t="inlineStr">
        <is>
          <t>Want</t>
        </is>
      </c>
      <c r="M116" s="38" t="inlineStr">
        <is>
          <t>No</t>
        </is>
      </c>
      <c r="N116" s="38" t="inlineStr"/>
      <c r="O116" s="40">
        <f>IF(AND($B116&gt;=CurMonthStart,$B116&lt;=CurMonthEnd),$K116,0)</f>
        <v/>
      </c>
    </row>
    <row r="117">
      <c r="A117" s="38">
        <f>ROW()-5</f>
        <v/>
      </c>
      <c r="B117" s="39" t="n">
        <v>46074</v>
      </c>
      <c r="C117" s="38" t="inlineStr">
        <is>
          <t>Target</t>
        </is>
      </c>
      <c r="D117" s="38">
        <f>IFERROR(INDEX(Dim_Vendor[VendorID],MATCH($C117,Dim_Vendor[VendorName],0)),"")</f>
        <v/>
      </c>
      <c r="E117" s="38" t="inlineStr">
        <is>
          <t>Shopping</t>
        </is>
      </c>
      <c r="F117" s="38">
        <f>IFERROR(INDEX(Dim_Category[CategoryID],MATCH($E117,Dim_Category[CategoryName],0)),"")</f>
        <v/>
      </c>
      <c r="G117" s="38" t="inlineStr">
        <is>
          <t>Credit Card</t>
        </is>
      </c>
      <c r="H117" s="38">
        <f>IFERROR(INDEX(Dim_Account[AccountID],MATCH($G117,Dim_Account[AccountName],0)),"")</f>
        <v/>
      </c>
      <c r="I117" s="38" t="inlineStr">
        <is>
          <t>Credit Card</t>
        </is>
      </c>
      <c r="J117" s="38">
        <f>IFERROR(INDEX(Dim_PaymentMethod[PaymentMethodID],MATCH($I117,Dim_PaymentMethod[MethodName],0)),"")</f>
        <v/>
      </c>
      <c r="K117" s="40" t="n">
        <v>54.57</v>
      </c>
      <c r="L117" s="38" t="inlineStr">
        <is>
          <t>Want</t>
        </is>
      </c>
      <c r="M117" s="38" t="inlineStr">
        <is>
          <t>No</t>
        </is>
      </c>
      <c r="N117" s="38" t="inlineStr"/>
      <c r="O117" s="40">
        <f>IF(AND($B117&gt;=CurMonthStart,$B117&lt;=CurMonthEnd),$K117,0)</f>
        <v/>
      </c>
    </row>
    <row r="118">
      <c r="A118" s="38">
        <f>ROW()-5</f>
        <v/>
      </c>
      <c r="B118" s="39" t="n">
        <v>46084</v>
      </c>
      <c r="C118" s="38" t="inlineStr">
        <is>
          <t>Mortgage Lender</t>
        </is>
      </c>
      <c r="D118" s="38">
        <f>IFERROR(INDEX(Dim_Vendor[VendorID],MATCH($C118,Dim_Vendor[VendorName],0)),"")</f>
        <v/>
      </c>
      <c r="E118" s="38" t="inlineStr">
        <is>
          <t>Mortgage</t>
        </is>
      </c>
      <c r="F118" s="38">
        <f>IFERROR(INDEX(Dim_Category[CategoryID],MATCH($E118,Dim_Category[CategoryName],0)),"")</f>
        <v/>
      </c>
      <c r="G118" s="38" t="inlineStr">
        <is>
          <t>Checking</t>
        </is>
      </c>
      <c r="H118" s="38">
        <f>IFERROR(INDEX(Dim_Account[AccountID],MATCH($G118,Dim_Account[AccountName],0)),"")</f>
        <v/>
      </c>
      <c r="I118" s="38" t="inlineStr">
        <is>
          <t>ACH</t>
        </is>
      </c>
      <c r="J118" s="38">
        <f>IFERROR(INDEX(Dim_PaymentMethod[PaymentMethodID],MATCH($I118,Dim_PaymentMethod[MethodName],0)),"")</f>
        <v/>
      </c>
      <c r="K118" s="40" t="n">
        <v>2312.05</v>
      </c>
      <c r="L118" s="38" t="inlineStr">
        <is>
          <t>Need</t>
        </is>
      </c>
      <c r="M118" s="38" t="inlineStr">
        <is>
          <t>Yes</t>
        </is>
      </c>
      <c r="N118" s="38" t="inlineStr">
        <is>
          <t>Monthly mortgage payment</t>
        </is>
      </c>
      <c r="O118" s="40">
        <f>IF(AND($B118&gt;=CurMonthStart,$B118&lt;=CurMonthEnd),$K118,0)</f>
        <v/>
      </c>
    </row>
    <row r="119">
      <c r="A119" s="38">
        <f>ROW()-5</f>
        <v/>
      </c>
      <c r="B119" s="39" t="n">
        <v>46087</v>
      </c>
      <c r="C119" s="38" t="inlineStr">
        <is>
          <t>Whole Foods</t>
        </is>
      </c>
      <c r="D119" s="38">
        <f>IFERROR(INDEX(Dim_Vendor[VendorID],MATCH($C119,Dim_Vendor[VendorName],0)),"")</f>
        <v/>
      </c>
      <c r="E119" s="38" t="inlineStr">
        <is>
          <t>Groceries</t>
        </is>
      </c>
      <c r="F119" s="38">
        <f>IFERROR(INDEX(Dim_Category[CategoryID],MATCH($E119,Dim_Category[CategoryName],0)),"")</f>
        <v/>
      </c>
      <c r="G119" s="38" t="inlineStr">
        <is>
          <t>Credit Card</t>
        </is>
      </c>
      <c r="H119" s="38">
        <f>IFERROR(INDEX(Dim_Account[AccountID],MATCH($G119,Dim_Account[AccountName],0)),"")</f>
        <v/>
      </c>
      <c r="I119" s="38" t="inlineStr">
        <is>
          <t>Credit Card</t>
        </is>
      </c>
      <c r="J119" s="38">
        <f>IFERROR(INDEX(Dim_PaymentMethod[PaymentMethodID],MATCH($I119,Dim_PaymentMethod[MethodName],0)),"")</f>
        <v/>
      </c>
      <c r="K119" s="40" t="n">
        <v>197.18</v>
      </c>
      <c r="L119" s="38" t="inlineStr">
        <is>
          <t>Need</t>
        </is>
      </c>
      <c r="M119" s="38" t="inlineStr">
        <is>
          <t>No</t>
        </is>
      </c>
      <c r="N119" s="38" t="inlineStr"/>
      <c r="O119" s="40">
        <f>IF(AND($B119&gt;=CurMonthStart,$B119&lt;=CurMonthEnd),$K119,0)</f>
        <v/>
      </c>
    </row>
    <row r="120">
      <c r="A120" s="38">
        <f>ROW()-5</f>
        <v/>
      </c>
      <c r="B120" s="39" t="n">
        <v>46090</v>
      </c>
      <c r="C120" s="38" t="inlineStr">
        <is>
          <t>Costco</t>
        </is>
      </c>
      <c r="D120" s="38">
        <f>IFERROR(INDEX(Dim_Vendor[VendorID],MATCH($C120,Dim_Vendor[VendorName],0)),"")</f>
        <v/>
      </c>
      <c r="E120" s="38" t="inlineStr">
        <is>
          <t>Groceries</t>
        </is>
      </c>
      <c r="F120" s="38">
        <f>IFERROR(INDEX(Dim_Category[CategoryID],MATCH($E120,Dim_Category[CategoryName],0)),"")</f>
        <v/>
      </c>
      <c r="G120" s="38" t="inlineStr">
        <is>
          <t>Credit Card</t>
        </is>
      </c>
      <c r="H120" s="38">
        <f>IFERROR(INDEX(Dim_Account[AccountID],MATCH($G120,Dim_Account[AccountName],0)),"")</f>
        <v/>
      </c>
      <c r="I120" s="38" t="inlineStr">
        <is>
          <t>Credit Card</t>
        </is>
      </c>
      <c r="J120" s="38">
        <f>IFERROR(INDEX(Dim_PaymentMethod[PaymentMethodID],MATCH($I120,Dim_PaymentMethod[MethodName],0)),"")</f>
        <v/>
      </c>
      <c r="K120" s="40" t="n">
        <v>225.94</v>
      </c>
      <c r="L120" s="38" t="inlineStr">
        <is>
          <t>Need</t>
        </is>
      </c>
      <c r="M120" s="38" t="inlineStr">
        <is>
          <t>No</t>
        </is>
      </c>
      <c r="N120" s="38" t="inlineStr">
        <is>
          <t>Bulk groceries</t>
        </is>
      </c>
      <c r="O120" s="40">
        <f>IF(AND($B120&gt;=CurMonthStart,$B120&lt;=CurMonthEnd),$K120,0)</f>
        <v/>
      </c>
    </row>
    <row r="121">
      <c r="A121" s="38">
        <f>ROW()-5</f>
        <v/>
      </c>
      <c r="B121" s="39" t="n">
        <v>46093</v>
      </c>
      <c r="C121" s="38" t="inlineStr">
        <is>
          <t>Shell Gas Station</t>
        </is>
      </c>
      <c r="D121" s="38">
        <f>IFERROR(INDEX(Dim_Vendor[VendorID],MATCH($C121,Dim_Vendor[VendorName],0)),"")</f>
        <v/>
      </c>
      <c r="E121" s="38" t="inlineStr">
        <is>
          <t>Car</t>
        </is>
      </c>
      <c r="F121" s="38">
        <f>IFERROR(INDEX(Dim_Category[CategoryID],MATCH($E121,Dim_Category[CategoryName],0)),"")</f>
        <v/>
      </c>
      <c r="G121" s="38" t="inlineStr">
        <is>
          <t>Credit Card</t>
        </is>
      </c>
      <c r="H121" s="38">
        <f>IFERROR(INDEX(Dim_Account[AccountID],MATCH($G121,Dim_Account[AccountName],0)),"")</f>
        <v/>
      </c>
      <c r="I121" s="38" t="inlineStr">
        <is>
          <t>Credit Card</t>
        </is>
      </c>
      <c r="J121" s="38">
        <f>IFERROR(INDEX(Dim_PaymentMethod[PaymentMethodID],MATCH($I121,Dim_PaymentMethod[MethodName],0)),"")</f>
        <v/>
      </c>
      <c r="K121" s="40" t="n">
        <v>54.15</v>
      </c>
      <c r="L121" s="38" t="inlineStr">
        <is>
          <t>Need</t>
        </is>
      </c>
      <c r="M121" s="38" t="inlineStr">
        <is>
          <t>No</t>
        </is>
      </c>
      <c r="N121" s="38" t="inlineStr">
        <is>
          <t>Gas</t>
        </is>
      </c>
      <c r="O121" s="40">
        <f>IF(AND($B121&gt;=CurMonthStart,$B121&lt;=CurMonthEnd),$K121,0)</f>
        <v/>
      </c>
    </row>
    <row r="122">
      <c r="A122" s="38">
        <f>ROW()-5</f>
        <v/>
      </c>
      <c r="B122" s="39" t="n">
        <v>46096</v>
      </c>
      <c r="C122" s="38" t="inlineStr">
        <is>
          <t>AutoZone</t>
        </is>
      </c>
      <c r="D122" s="38">
        <f>IFERROR(INDEX(Dim_Vendor[VendorID],MATCH($C122,Dim_Vendor[VendorName],0)),"")</f>
        <v/>
      </c>
      <c r="E122" s="38" t="inlineStr">
        <is>
          <t>Car</t>
        </is>
      </c>
      <c r="F122" s="38">
        <f>IFERROR(INDEX(Dim_Category[CategoryID],MATCH($E122,Dim_Category[CategoryName],0)),"")</f>
        <v/>
      </c>
      <c r="G122" s="38" t="inlineStr">
        <is>
          <t>Credit Card</t>
        </is>
      </c>
      <c r="H122" s="38">
        <f>IFERROR(INDEX(Dim_Account[AccountID],MATCH($G122,Dim_Account[AccountName],0)),"")</f>
        <v/>
      </c>
      <c r="I122" s="38" t="inlineStr">
        <is>
          <t>Credit Card</t>
        </is>
      </c>
      <c r="J122" s="38">
        <f>IFERROR(INDEX(Dim_PaymentMethod[PaymentMethodID],MATCH($I122,Dim_PaymentMethod[MethodName],0)),"")</f>
        <v/>
      </c>
      <c r="K122" s="40" t="n">
        <v>39.88</v>
      </c>
      <c r="L122" s="38" t="inlineStr">
        <is>
          <t>Need</t>
        </is>
      </c>
      <c r="M122" s="38" t="inlineStr">
        <is>
          <t>No</t>
        </is>
      </c>
      <c r="N122" s="38" t="inlineStr">
        <is>
          <t>Wiper blades / oil</t>
        </is>
      </c>
      <c r="O122" s="40">
        <f>IF(AND($B122&gt;=CurMonthStart,$B122&lt;=CurMonthEnd),$K122,0)</f>
        <v/>
      </c>
    </row>
    <row r="123">
      <c r="A123" s="38">
        <f>ROW()-5</f>
        <v/>
      </c>
      <c r="B123" s="39" t="n">
        <v>46099</v>
      </c>
      <c r="C123" s="38" t="inlineStr">
        <is>
          <t>City Electric Co</t>
        </is>
      </c>
      <c r="D123" s="38">
        <f>IFERROR(INDEX(Dim_Vendor[VendorID],MATCH($C123,Dim_Vendor[VendorName],0)),"")</f>
        <v/>
      </c>
      <c r="E123" s="38" t="inlineStr">
        <is>
          <t>Utilities</t>
        </is>
      </c>
      <c r="F123" s="38">
        <f>IFERROR(INDEX(Dim_Category[CategoryID],MATCH($E123,Dim_Category[CategoryName],0)),"")</f>
        <v/>
      </c>
      <c r="G123" s="38" t="inlineStr">
        <is>
          <t>Checking</t>
        </is>
      </c>
      <c r="H123" s="38">
        <f>IFERROR(INDEX(Dim_Account[AccountID],MATCH($G123,Dim_Account[AccountName],0)),"")</f>
        <v/>
      </c>
      <c r="I123" s="38" t="inlineStr">
        <is>
          <t>ACH</t>
        </is>
      </c>
      <c r="J123" s="38">
        <f>IFERROR(INDEX(Dim_PaymentMethod[PaymentMethodID],MATCH($I123,Dim_PaymentMethod[MethodName],0)),"")</f>
        <v/>
      </c>
      <c r="K123" s="40" t="n">
        <v>129.36</v>
      </c>
      <c r="L123" s="38" t="inlineStr">
        <is>
          <t>Need</t>
        </is>
      </c>
      <c r="M123" s="38" t="inlineStr">
        <is>
          <t>Yes</t>
        </is>
      </c>
      <c r="N123" s="38" t="inlineStr"/>
      <c r="O123" s="40">
        <f>IF(AND($B123&gt;=CurMonthStart,$B123&lt;=CurMonthEnd),$K123,0)</f>
        <v/>
      </c>
    </row>
    <row r="124">
      <c r="A124" s="38">
        <f>ROW()-5</f>
        <v/>
      </c>
      <c r="B124" s="39" t="n">
        <v>46102</v>
      </c>
      <c r="C124" s="38" t="inlineStr">
        <is>
          <t>Comcast Xfinity</t>
        </is>
      </c>
      <c r="D124" s="38">
        <f>IFERROR(INDEX(Dim_Vendor[VendorID],MATCH($C124,Dim_Vendor[VendorName],0)),"")</f>
        <v/>
      </c>
      <c r="E124" s="38" t="inlineStr">
        <is>
          <t>Utilities</t>
        </is>
      </c>
      <c r="F124" s="38">
        <f>IFERROR(INDEX(Dim_Category[CategoryID],MATCH($E124,Dim_Category[CategoryName],0)),"")</f>
        <v/>
      </c>
      <c r="G124" s="38" t="inlineStr">
        <is>
          <t>Checking</t>
        </is>
      </c>
      <c r="H124" s="38">
        <f>IFERROR(INDEX(Dim_Account[AccountID],MATCH($G124,Dim_Account[AccountName],0)),"")</f>
        <v/>
      </c>
      <c r="I124" s="38" t="inlineStr">
        <is>
          <t>ACH</t>
        </is>
      </c>
      <c r="J124" s="38">
        <f>IFERROR(INDEX(Dim_PaymentMethod[PaymentMethodID],MATCH($I124,Dim_PaymentMethod[MethodName],0)),"")</f>
        <v/>
      </c>
      <c r="K124" s="40" t="n">
        <v>77.01000000000001</v>
      </c>
      <c r="L124" s="38" t="inlineStr">
        <is>
          <t>Need</t>
        </is>
      </c>
      <c r="M124" s="38" t="inlineStr">
        <is>
          <t>Yes</t>
        </is>
      </c>
      <c r="N124" s="38" t="inlineStr">
        <is>
          <t>Internet</t>
        </is>
      </c>
      <c r="O124" s="40">
        <f>IF(AND($B124&gt;=CurMonthStart,$B124&lt;=CurMonthEnd),$K124,0)</f>
        <v/>
      </c>
    </row>
    <row r="125">
      <c r="A125" s="38">
        <f>ROW()-5</f>
        <v/>
      </c>
      <c r="B125" s="39" t="n">
        <v>46105</v>
      </c>
      <c r="C125" s="38" t="inlineStr">
        <is>
          <t>Verizon Wireless</t>
        </is>
      </c>
      <c r="D125" s="38">
        <f>IFERROR(INDEX(Dim_Vendor[VendorID],MATCH($C125,Dim_Vendor[VendorName],0)),"")</f>
        <v/>
      </c>
      <c r="E125" s="38" t="inlineStr">
        <is>
          <t>Utilities</t>
        </is>
      </c>
      <c r="F125" s="38">
        <f>IFERROR(INDEX(Dim_Category[CategoryID],MATCH($E125,Dim_Category[CategoryName],0)),"")</f>
        <v/>
      </c>
      <c r="G125" s="38" t="inlineStr">
        <is>
          <t>Checking</t>
        </is>
      </c>
      <c r="H125" s="38">
        <f>IFERROR(INDEX(Dim_Account[AccountID],MATCH($G125,Dim_Account[AccountName],0)),"")</f>
        <v/>
      </c>
      <c r="I125" s="38" t="inlineStr">
        <is>
          <t>ACH</t>
        </is>
      </c>
      <c r="J125" s="38">
        <f>IFERROR(INDEX(Dim_PaymentMethod[PaymentMethodID],MATCH($I125,Dim_PaymentMethod[MethodName],0)),"")</f>
        <v/>
      </c>
      <c r="K125" s="40" t="n">
        <v>97.14</v>
      </c>
      <c r="L125" s="38" t="inlineStr">
        <is>
          <t>Need</t>
        </is>
      </c>
      <c r="M125" s="38" t="inlineStr">
        <is>
          <t>Yes</t>
        </is>
      </c>
      <c r="N125" s="38" t="inlineStr">
        <is>
          <t>Mobile phone</t>
        </is>
      </c>
      <c r="O125" s="40">
        <f>IF(AND($B125&gt;=CurMonthStart,$B125&lt;=CurMonthEnd),$K125,0)</f>
        <v/>
      </c>
    </row>
    <row r="126">
      <c r="A126" s="38">
        <f>ROW()-5</f>
        <v/>
      </c>
      <c r="B126" s="39" t="n">
        <v>46108</v>
      </c>
      <c r="C126" s="38" t="inlineStr">
        <is>
          <t>State Farm Insurance</t>
        </is>
      </c>
      <c r="D126" s="38">
        <f>IFERROR(INDEX(Dim_Vendor[VendorID],MATCH($C126,Dim_Vendor[VendorName],0)),"")</f>
        <v/>
      </c>
      <c r="E126" s="38" t="inlineStr">
        <is>
          <t>Insurance</t>
        </is>
      </c>
      <c r="F126" s="38">
        <f>IFERROR(INDEX(Dim_Category[CategoryID],MATCH($E126,Dim_Category[CategoryName],0)),"")</f>
        <v/>
      </c>
      <c r="G126" s="38" t="inlineStr">
        <is>
          <t>Checking</t>
        </is>
      </c>
      <c r="H126" s="38">
        <f>IFERROR(INDEX(Dim_Account[AccountID],MATCH($G126,Dim_Account[AccountName],0)),"")</f>
        <v/>
      </c>
      <c r="I126" s="38" t="inlineStr">
        <is>
          <t>ACH</t>
        </is>
      </c>
      <c r="J126" s="38">
        <f>IFERROR(INDEX(Dim_PaymentMethod[PaymentMethodID],MATCH($I126,Dim_PaymentMethod[MethodName],0)),"")</f>
        <v/>
      </c>
      <c r="K126" s="40" t="n">
        <v>133.17</v>
      </c>
      <c r="L126" s="38" t="inlineStr">
        <is>
          <t>Need</t>
        </is>
      </c>
      <c r="M126" s="38" t="inlineStr">
        <is>
          <t>Yes</t>
        </is>
      </c>
      <c r="N126" s="38" t="inlineStr">
        <is>
          <t>Auto + home insurance</t>
        </is>
      </c>
      <c r="O126" s="40">
        <f>IF(AND($B126&gt;=CurMonthStart,$B126&lt;=CurMonthEnd),$K126,0)</f>
        <v/>
      </c>
    </row>
    <row r="127">
      <c r="A127" s="38">
        <f>ROW()-5</f>
        <v/>
      </c>
      <c r="B127" s="39" t="n">
        <v>46084</v>
      </c>
      <c r="C127" s="38" t="inlineStr">
        <is>
          <t>Kaiser Permanente</t>
        </is>
      </c>
      <c r="D127" s="38">
        <f>IFERROR(INDEX(Dim_Vendor[VendorID],MATCH($C127,Dim_Vendor[VendorName],0)),"")</f>
        <v/>
      </c>
      <c r="E127" s="38" t="inlineStr">
        <is>
          <t>Healthcare</t>
        </is>
      </c>
      <c r="F127" s="38">
        <f>IFERROR(INDEX(Dim_Category[CategoryID],MATCH($E127,Dim_Category[CategoryName],0)),"")</f>
        <v/>
      </c>
      <c r="G127" s="38" t="inlineStr">
        <is>
          <t>Credit Card</t>
        </is>
      </c>
      <c r="H127" s="38">
        <f>IFERROR(INDEX(Dim_Account[AccountID],MATCH($G127,Dim_Account[AccountName],0)),"")</f>
        <v/>
      </c>
      <c r="I127" s="38" t="inlineStr">
        <is>
          <t>Credit Card</t>
        </is>
      </c>
      <c r="J127" s="38">
        <f>IFERROR(INDEX(Dim_PaymentMethod[PaymentMethodID],MATCH($I127,Dim_PaymentMethod[MethodName],0)),"")</f>
        <v/>
      </c>
      <c r="K127" s="40" t="n">
        <v>44.53</v>
      </c>
      <c r="L127" s="38" t="inlineStr">
        <is>
          <t>Need</t>
        </is>
      </c>
      <c r="M127" s="38" t="inlineStr">
        <is>
          <t>No</t>
        </is>
      </c>
      <c r="N127" s="38" t="inlineStr">
        <is>
          <t>Copay</t>
        </is>
      </c>
      <c r="O127" s="40">
        <f>IF(AND($B127&gt;=CurMonthStart,$B127&lt;=CurMonthEnd),$K127,0)</f>
        <v/>
      </c>
    </row>
    <row r="128">
      <c r="A128" s="38">
        <f>ROW()-5</f>
        <v/>
      </c>
      <c r="B128" s="39" t="n">
        <v>46087</v>
      </c>
      <c r="C128" s="38" t="inlineStr">
        <is>
          <t>Chipotle</t>
        </is>
      </c>
      <c r="D128" s="38">
        <f>IFERROR(INDEX(Dim_Vendor[VendorID],MATCH($C128,Dim_Vendor[VendorName],0)),"")</f>
        <v/>
      </c>
      <c r="E128" s="38" t="inlineStr">
        <is>
          <t>Dining &amp; Entertainment</t>
        </is>
      </c>
      <c r="F128" s="38">
        <f>IFERROR(INDEX(Dim_Category[CategoryID],MATCH($E128,Dim_Category[CategoryName],0)),"")</f>
        <v/>
      </c>
      <c r="G128" s="38" t="inlineStr">
        <is>
          <t>Credit Card</t>
        </is>
      </c>
      <c r="H128" s="38">
        <f>IFERROR(INDEX(Dim_Account[AccountID],MATCH($G128,Dim_Account[AccountName],0)),"")</f>
        <v/>
      </c>
      <c r="I128" s="38" t="inlineStr">
        <is>
          <t>Credit Card</t>
        </is>
      </c>
      <c r="J128" s="38">
        <f>IFERROR(INDEX(Dim_PaymentMethod[PaymentMethodID],MATCH($I128,Dim_PaymentMethod[MethodName],0)),"")</f>
        <v/>
      </c>
      <c r="K128" s="40" t="n">
        <v>14.25</v>
      </c>
      <c r="L128" s="38" t="inlineStr">
        <is>
          <t>Want</t>
        </is>
      </c>
      <c r="M128" s="38" t="inlineStr">
        <is>
          <t>No</t>
        </is>
      </c>
      <c r="N128" s="38" t="inlineStr"/>
      <c r="O128" s="40">
        <f>IF(AND($B128&gt;=CurMonthStart,$B128&lt;=CurMonthEnd),$K128,0)</f>
        <v/>
      </c>
    </row>
    <row r="129">
      <c r="A129" s="38">
        <f>ROW()-5</f>
        <v/>
      </c>
      <c r="B129" s="39" t="n">
        <v>46090</v>
      </c>
      <c r="C129" s="38" t="inlineStr">
        <is>
          <t>Netflix</t>
        </is>
      </c>
      <c r="D129" s="38">
        <f>IFERROR(INDEX(Dim_Vendor[VendorID],MATCH($C129,Dim_Vendor[VendorName],0)),"")</f>
        <v/>
      </c>
      <c r="E129" s="38" t="inlineStr">
        <is>
          <t>Dining &amp; Entertainment</t>
        </is>
      </c>
      <c r="F129" s="38">
        <f>IFERROR(INDEX(Dim_Category[CategoryID],MATCH($E129,Dim_Category[CategoryName],0)),"")</f>
        <v/>
      </c>
      <c r="G129" s="38" t="inlineStr">
        <is>
          <t>Credit Card</t>
        </is>
      </c>
      <c r="H129" s="38">
        <f>IFERROR(INDEX(Dim_Account[AccountID],MATCH($G129,Dim_Account[AccountName],0)),"")</f>
        <v/>
      </c>
      <c r="I129" s="38" t="inlineStr">
        <is>
          <t>Credit Card</t>
        </is>
      </c>
      <c r="J129" s="38">
        <f>IFERROR(INDEX(Dim_PaymentMethod[PaymentMethodID],MATCH($I129,Dim_PaymentMethod[MethodName],0)),"")</f>
        <v/>
      </c>
      <c r="K129" s="40" t="n">
        <v>15.49</v>
      </c>
      <c r="L129" s="38" t="inlineStr">
        <is>
          <t>Want</t>
        </is>
      </c>
      <c r="M129" s="38" t="inlineStr">
        <is>
          <t>Yes</t>
        </is>
      </c>
      <c r="N129" s="38" t="inlineStr">
        <is>
          <t>Streaming subscription</t>
        </is>
      </c>
      <c r="O129" s="40">
        <f>IF(AND($B129&gt;=CurMonthStart,$B129&lt;=CurMonthEnd),$K129,0)</f>
        <v/>
      </c>
    </row>
    <row r="130">
      <c r="A130" s="38">
        <f>ROW()-5</f>
        <v/>
      </c>
      <c r="B130" s="39" t="n">
        <v>46093</v>
      </c>
      <c r="C130" s="38" t="inlineStr">
        <is>
          <t>AMC Theatres</t>
        </is>
      </c>
      <c r="D130" s="38">
        <f>IFERROR(INDEX(Dim_Vendor[VendorID],MATCH($C130,Dim_Vendor[VendorName],0)),"")</f>
        <v/>
      </c>
      <c r="E130" s="38" t="inlineStr">
        <is>
          <t>Dining &amp; Entertainment</t>
        </is>
      </c>
      <c r="F130" s="38">
        <f>IFERROR(INDEX(Dim_Category[CategoryID],MATCH($E130,Dim_Category[CategoryName],0)),"")</f>
        <v/>
      </c>
      <c r="G130" s="38" t="inlineStr">
        <is>
          <t>Credit Card</t>
        </is>
      </c>
      <c r="H130" s="38">
        <f>IFERROR(INDEX(Dim_Account[AccountID],MATCH($G130,Dim_Account[AccountName],0)),"")</f>
        <v/>
      </c>
      <c r="I130" s="38" t="inlineStr">
        <is>
          <t>Credit Card</t>
        </is>
      </c>
      <c r="J130" s="38">
        <f>IFERROR(INDEX(Dim_PaymentMethod[PaymentMethodID],MATCH($I130,Dim_PaymentMethod[MethodName],0)),"")</f>
        <v/>
      </c>
      <c r="K130" s="40" t="n">
        <v>31.76</v>
      </c>
      <c r="L130" s="38" t="inlineStr">
        <is>
          <t>Want</t>
        </is>
      </c>
      <c r="M130" s="38" t="inlineStr">
        <is>
          <t>No</t>
        </is>
      </c>
      <c r="N130" s="38" t="inlineStr"/>
      <c r="O130" s="40">
        <f>IF(AND($B130&gt;=CurMonthStart,$B130&lt;=CurMonthEnd),$K130,0)</f>
        <v/>
      </c>
    </row>
    <row r="131">
      <c r="A131" s="38">
        <f>ROW()-5</f>
        <v/>
      </c>
      <c r="B131" s="39" t="n">
        <v>46096</v>
      </c>
      <c r="C131" s="38" t="inlineStr">
        <is>
          <t>Planet Fitness</t>
        </is>
      </c>
      <c r="D131" s="38">
        <f>IFERROR(INDEX(Dim_Vendor[VendorID],MATCH($C131,Dim_Vendor[VendorName],0)),"")</f>
        <v/>
      </c>
      <c r="E131" s="38" t="inlineStr">
        <is>
          <t>Personal Care</t>
        </is>
      </c>
      <c r="F131" s="38">
        <f>IFERROR(INDEX(Dim_Category[CategoryID],MATCH($E131,Dim_Category[CategoryName],0)),"")</f>
        <v/>
      </c>
      <c r="G131" s="38" t="inlineStr">
        <is>
          <t>Checking</t>
        </is>
      </c>
      <c r="H131" s="38">
        <f>IFERROR(INDEX(Dim_Account[AccountID],MATCH($G131,Dim_Account[AccountName],0)),"")</f>
        <v/>
      </c>
      <c r="I131" s="38" t="inlineStr">
        <is>
          <t>ACH</t>
        </is>
      </c>
      <c r="J131" s="38">
        <f>IFERROR(INDEX(Dim_PaymentMethod[PaymentMethodID],MATCH($I131,Dim_PaymentMethod[MethodName],0)),"")</f>
        <v/>
      </c>
      <c r="K131" s="40" t="n">
        <v>26.8</v>
      </c>
      <c r="L131" s="38" t="inlineStr">
        <is>
          <t>Want</t>
        </is>
      </c>
      <c r="M131" s="38" t="inlineStr">
        <is>
          <t>Yes</t>
        </is>
      </c>
      <c r="N131" s="38" t="inlineStr">
        <is>
          <t>Gym membership</t>
        </is>
      </c>
      <c r="O131" s="40">
        <f>IF(AND($B131&gt;=CurMonthStart,$B131&lt;=CurMonthEnd),$K131,0)</f>
        <v/>
      </c>
    </row>
    <row r="132">
      <c r="A132" s="38">
        <f>ROW()-5</f>
        <v/>
      </c>
      <c r="B132" s="39" t="n">
        <v>46099</v>
      </c>
      <c r="C132" s="38" t="inlineStr">
        <is>
          <t>Amazon</t>
        </is>
      </c>
      <c r="D132" s="38">
        <f>IFERROR(INDEX(Dim_Vendor[VendorID],MATCH($C132,Dim_Vendor[VendorName],0)),"")</f>
        <v/>
      </c>
      <c r="E132" s="38" t="inlineStr">
        <is>
          <t>Shopping</t>
        </is>
      </c>
      <c r="F132" s="38">
        <f>IFERROR(INDEX(Dim_Category[CategoryID],MATCH($E132,Dim_Category[CategoryName],0)),"")</f>
        <v/>
      </c>
      <c r="G132" s="38" t="inlineStr">
        <is>
          <t>Credit Card</t>
        </is>
      </c>
      <c r="H132" s="38">
        <f>IFERROR(INDEX(Dim_Account[AccountID],MATCH($G132,Dim_Account[AccountName],0)),"")</f>
        <v/>
      </c>
      <c r="I132" s="38" t="inlineStr">
        <is>
          <t>Credit Card</t>
        </is>
      </c>
      <c r="J132" s="38">
        <f>IFERROR(INDEX(Dim_PaymentMethod[PaymentMethodID],MATCH($I132,Dim_PaymentMethod[MethodName],0)),"")</f>
        <v/>
      </c>
      <c r="K132" s="40" t="n">
        <v>72.59</v>
      </c>
      <c r="L132" s="38" t="inlineStr">
        <is>
          <t>Want</t>
        </is>
      </c>
      <c r="M132" s="38" t="inlineStr">
        <is>
          <t>No</t>
        </is>
      </c>
      <c r="N132" s="38" t="inlineStr"/>
      <c r="O132" s="40">
        <f>IF(AND($B132&gt;=CurMonthStart,$B132&lt;=CurMonthEnd),$K132,0)</f>
        <v/>
      </c>
    </row>
    <row r="133">
      <c r="A133" s="38">
        <f>ROW()-5</f>
        <v/>
      </c>
      <c r="B133" s="39" t="n">
        <v>46102</v>
      </c>
      <c r="C133" s="38" t="inlineStr">
        <is>
          <t>Target</t>
        </is>
      </c>
      <c r="D133" s="38">
        <f>IFERROR(INDEX(Dim_Vendor[VendorID],MATCH($C133,Dim_Vendor[VendorName],0)),"")</f>
        <v/>
      </c>
      <c r="E133" s="38" t="inlineStr">
        <is>
          <t>Shopping</t>
        </is>
      </c>
      <c r="F133" s="38">
        <f>IFERROR(INDEX(Dim_Category[CategoryID],MATCH($E133,Dim_Category[CategoryName],0)),"")</f>
        <v/>
      </c>
      <c r="G133" s="38" t="inlineStr">
        <is>
          <t>Credit Card</t>
        </is>
      </c>
      <c r="H133" s="38">
        <f>IFERROR(INDEX(Dim_Account[AccountID],MATCH($G133,Dim_Account[AccountName],0)),"")</f>
        <v/>
      </c>
      <c r="I133" s="38" t="inlineStr">
        <is>
          <t>Credit Card</t>
        </is>
      </c>
      <c r="J133" s="38">
        <f>IFERROR(INDEX(Dim_PaymentMethod[PaymentMethodID],MATCH($I133,Dim_PaymentMethod[MethodName],0)),"")</f>
        <v/>
      </c>
      <c r="K133" s="40" t="n">
        <v>52.26</v>
      </c>
      <c r="L133" s="38" t="inlineStr">
        <is>
          <t>Want</t>
        </is>
      </c>
      <c r="M133" s="38" t="inlineStr">
        <is>
          <t>No</t>
        </is>
      </c>
      <c r="N133" s="38" t="inlineStr"/>
      <c r="O133" s="40">
        <f>IF(AND($B133&gt;=CurMonthStart,$B133&lt;=CurMonthEnd),$K133,0)</f>
        <v/>
      </c>
    </row>
    <row r="134">
      <c r="A134" s="38">
        <f>ROW()-5</f>
        <v/>
      </c>
      <c r="B134" s="39" t="n">
        <v>46115</v>
      </c>
      <c r="C134" s="38" t="inlineStr">
        <is>
          <t>Mortgage Lender</t>
        </is>
      </c>
      <c r="D134" s="38">
        <f>IFERROR(INDEX(Dim_Vendor[VendorID],MATCH($C134,Dim_Vendor[VendorName],0)),"")</f>
        <v/>
      </c>
      <c r="E134" s="38" t="inlineStr">
        <is>
          <t>Mortgage</t>
        </is>
      </c>
      <c r="F134" s="38">
        <f>IFERROR(INDEX(Dim_Category[CategoryID],MATCH($E134,Dim_Category[CategoryName],0)),"")</f>
        <v/>
      </c>
      <c r="G134" s="38" t="inlineStr">
        <is>
          <t>Checking</t>
        </is>
      </c>
      <c r="H134" s="38">
        <f>IFERROR(INDEX(Dim_Account[AccountID],MATCH($G134,Dim_Account[AccountName],0)),"")</f>
        <v/>
      </c>
      <c r="I134" s="38" t="inlineStr">
        <is>
          <t>ACH</t>
        </is>
      </c>
      <c r="J134" s="38">
        <f>IFERROR(INDEX(Dim_PaymentMethod[PaymentMethodID],MATCH($I134,Dim_PaymentMethod[MethodName],0)),"")</f>
        <v/>
      </c>
      <c r="K134" s="40" t="n">
        <v>2150.2</v>
      </c>
      <c r="L134" s="38" t="inlineStr">
        <is>
          <t>Need</t>
        </is>
      </c>
      <c r="M134" s="38" t="inlineStr">
        <is>
          <t>Yes</t>
        </is>
      </c>
      <c r="N134" s="38" t="inlineStr">
        <is>
          <t>Monthly mortgage payment</t>
        </is>
      </c>
      <c r="O134" s="40">
        <f>IF(AND($B134&gt;=CurMonthStart,$B134&lt;=CurMonthEnd),$K134,0)</f>
        <v/>
      </c>
    </row>
    <row r="135">
      <c r="A135" s="38">
        <f>ROW()-5</f>
        <v/>
      </c>
      <c r="B135" s="39" t="n">
        <v>46118</v>
      </c>
      <c r="C135" s="38" t="inlineStr">
        <is>
          <t>Whole Foods</t>
        </is>
      </c>
      <c r="D135" s="38">
        <f>IFERROR(INDEX(Dim_Vendor[VendorID],MATCH($C135,Dim_Vendor[VendorName],0)),"")</f>
        <v/>
      </c>
      <c r="E135" s="38" t="inlineStr">
        <is>
          <t>Groceries</t>
        </is>
      </c>
      <c r="F135" s="38">
        <f>IFERROR(INDEX(Dim_Category[CategoryID],MATCH($E135,Dim_Category[CategoryName],0)),"")</f>
        <v/>
      </c>
      <c r="G135" s="38" t="inlineStr">
        <is>
          <t>Credit Card</t>
        </is>
      </c>
      <c r="H135" s="38">
        <f>IFERROR(INDEX(Dim_Account[AccountID],MATCH($G135,Dim_Account[AccountName],0)),"")</f>
        <v/>
      </c>
      <c r="I135" s="38" t="inlineStr">
        <is>
          <t>Credit Card</t>
        </is>
      </c>
      <c r="J135" s="38">
        <f>IFERROR(INDEX(Dim_PaymentMethod[PaymentMethodID],MATCH($I135,Dim_PaymentMethod[MethodName],0)),"")</f>
        <v/>
      </c>
      <c r="K135" s="40" t="n">
        <v>176.84</v>
      </c>
      <c r="L135" s="38" t="inlineStr">
        <is>
          <t>Need</t>
        </is>
      </c>
      <c r="M135" s="38" t="inlineStr">
        <is>
          <t>No</t>
        </is>
      </c>
      <c r="N135" s="38" t="inlineStr"/>
      <c r="O135" s="40">
        <f>IF(AND($B135&gt;=CurMonthStart,$B135&lt;=CurMonthEnd),$K135,0)</f>
        <v/>
      </c>
    </row>
    <row r="136">
      <c r="A136" s="38">
        <f>ROW()-5</f>
        <v/>
      </c>
      <c r="B136" s="39" t="n">
        <v>46121</v>
      </c>
      <c r="C136" s="38" t="inlineStr">
        <is>
          <t>Costco</t>
        </is>
      </c>
      <c r="D136" s="38">
        <f>IFERROR(INDEX(Dim_Vendor[VendorID],MATCH($C136,Dim_Vendor[VendorName],0)),"")</f>
        <v/>
      </c>
      <c r="E136" s="38" t="inlineStr">
        <is>
          <t>Groceries</t>
        </is>
      </c>
      <c r="F136" s="38">
        <f>IFERROR(INDEX(Dim_Category[CategoryID],MATCH($E136,Dim_Category[CategoryName],0)),"")</f>
        <v/>
      </c>
      <c r="G136" s="38" t="inlineStr">
        <is>
          <t>Credit Card</t>
        </is>
      </c>
      <c r="H136" s="38">
        <f>IFERROR(INDEX(Dim_Account[AccountID],MATCH($G136,Dim_Account[AccountName],0)),"")</f>
        <v/>
      </c>
      <c r="I136" s="38" t="inlineStr">
        <is>
          <t>Credit Card</t>
        </is>
      </c>
      <c r="J136" s="38">
        <f>IFERROR(INDEX(Dim_PaymentMethod[PaymentMethodID],MATCH($I136,Dim_PaymentMethod[MethodName],0)),"")</f>
        <v/>
      </c>
      <c r="K136" s="40" t="n">
        <v>261.28</v>
      </c>
      <c r="L136" s="38" t="inlineStr">
        <is>
          <t>Need</t>
        </is>
      </c>
      <c r="M136" s="38" t="inlineStr">
        <is>
          <t>No</t>
        </is>
      </c>
      <c r="N136" s="38" t="inlineStr">
        <is>
          <t>Bulk groceries</t>
        </is>
      </c>
      <c r="O136" s="40">
        <f>IF(AND($B136&gt;=CurMonthStart,$B136&lt;=CurMonthEnd),$K136,0)</f>
        <v/>
      </c>
    </row>
    <row r="137">
      <c r="A137" s="38">
        <f>ROW()-5</f>
        <v/>
      </c>
      <c r="B137" s="39" t="n">
        <v>46124</v>
      </c>
      <c r="C137" s="38" t="inlineStr">
        <is>
          <t>Shell Gas Station</t>
        </is>
      </c>
      <c r="D137" s="38">
        <f>IFERROR(INDEX(Dim_Vendor[VendorID],MATCH($C137,Dim_Vendor[VendorName],0)),"")</f>
        <v/>
      </c>
      <c r="E137" s="38" t="inlineStr">
        <is>
          <t>Car</t>
        </is>
      </c>
      <c r="F137" s="38">
        <f>IFERROR(INDEX(Dim_Category[CategoryID],MATCH($E137,Dim_Category[CategoryName],0)),"")</f>
        <v/>
      </c>
      <c r="G137" s="38" t="inlineStr">
        <is>
          <t>Credit Card</t>
        </is>
      </c>
      <c r="H137" s="38">
        <f>IFERROR(INDEX(Dim_Account[AccountID],MATCH($G137,Dim_Account[AccountName],0)),"")</f>
        <v/>
      </c>
      <c r="I137" s="38" t="inlineStr">
        <is>
          <t>Credit Card</t>
        </is>
      </c>
      <c r="J137" s="38">
        <f>IFERROR(INDEX(Dim_PaymentMethod[PaymentMethodID],MATCH($I137,Dim_PaymentMethod[MethodName],0)),"")</f>
        <v/>
      </c>
      <c r="K137" s="40" t="n">
        <v>55.4</v>
      </c>
      <c r="L137" s="38" t="inlineStr">
        <is>
          <t>Need</t>
        </is>
      </c>
      <c r="M137" s="38" t="inlineStr">
        <is>
          <t>No</t>
        </is>
      </c>
      <c r="N137" s="38" t="inlineStr">
        <is>
          <t>Gas</t>
        </is>
      </c>
      <c r="O137" s="40">
        <f>IF(AND($B137&gt;=CurMonthStart,$B137&lt;=CurMonthEnd),$K137,0)</f>
        <v/>
      </c>
    </row>
    <row r="138">
      <c r="A138" s="38">
        <f>ROW()-5</f>
        <v/>
      </c>
      <c r="B138" s="39" t="n">
        <v>46127</v>
      </c>
      <c r="C138" s="38" t="inlineStr">
        <is>
          <t>AutoZone</t>
        </is>
      </c>
      <c r="D138" s="38">
        <f>IFERROR(INDEX(Dim_Vendor[VendorID],MATCH($C138,Dim_Vendor[VendorName],0)),"")</f>
        <v/>
      </c>
      <c r="E138" s="38" t="inlineStr">
        <is>
          <t>Car</t>
        </is>
      </c>
      <c r="F138" s="38">
        <f>IFERROR(INDEX(Dim_Category[CategoryID],MATCH($E138,Dim_Category[CategoryName],0)),"")</f>
        <v/>
      </c>
      <c r="G138" s="38" t="inlineStr">
        <is>
          <t>Credit Card</t>
        </is>
      </c>
      <c r="H138" s="38">
        <f>IFERROR(INDEX(Dim_Account[AccountID],MATCH($G138,Dim_Account[AccountName],0)),"")</f>
        <v/>
      </c>
      <c r="I138" s="38" t="inlineStr">
        <is>
          <t>Credit Card</t>
        </is>
      </c>
      <c r="J138" s="38">
        <f>IFERROR(INDEX(Dim_PaymentMethod[PaymentMethodID],MATCH($I138,Dim_PaymentMethod[MethodName],0)),"")</f>
        <v/>
      </c>
      <c r="K138" s="40" t="n">
        <v>37.5</v>
      </c>
      <c r="L138" s="38" t="inlineStr">
        <is>
          <t>Need</t>
        </is>
      </c>
      <c r="M138" s="38" t="inlineStr">
        <is>
          <t>No</t>
        </is>
      </c>
      <c r="N138" s="38" t="inlineStr">
        <is>
          <t>Wiper blades / oil</t>
        </is>
      </c>
      <c r="O138" s="40">
        <f>IF(AND($B138&gt;=CurMonthStart,$B138&lt;=CurMonthEnd),$K138,0)</f>
        <v/>
      </c>
    </row>
    <row r="139">
      <c r="A139" s="38">
        <f>ROW()-5</f>
        <v/>
      </c>
      <c r="B139" s="39" t="n">
        <v>46130</v>
      </c>
      <c r="C139" s="38" t="inlineStr">
        <is>
          <t>City Electric Co</t>
        </is>
      </c>
      <c r="D139" s="38">
        <f>IFERROR(INDEX(Dim_Vendor[VendorID],MATCH($C139,Dim_Vendor[VendorName],0)),"")</f>
        <v/>
      </c>
      <c r="E139" s="38" t="inlineStr">
        <is>
          <t>Utilities</t>
        </is>
      </c>
      <c r="F139" s="38">
        <f>IFERROR(INDEX(Dim_Category[CategoryID],MATCH($E139,Dim_Category[CategoryName],0)),"")</f>
        <v/>
      </c>
      <c r="G139" s="38" t="inlineStr">
        <is>
          <t>Checking</t>
        </is>
      </c>
      <c r="H139" s="38">
        <f>IFERROR(INDEX(Dim_Account[AccountID],MATCH($G139,Dim_Account[AccountName],0)),"")</f>
        <v/>
      </c>
      <c r="I139" s="38" t="inlineStr">
        <is>
          <t>ACH</t>
        </is>
      </c>
      <c r="J139" s="38">
        <f>IFERROR(INDEX(Dim_PaymentMethod[PaymentMethodID],MATCH($I139,Dim_PaymentMethod[MethodName],0)),"")</f>
        <v/>
      </c>
      <c r="K139" s="40" t="n">
        <v>131.46</v>
      </c>
      <c r="L139" s="38" t="inlineStr">
        <is>
          <t>Need</t>
        </is>
      </c>
      <c r="M139" s="38" t="inlineStr">
        <is>
          <t>Yes</t>
        </is>
      </c>
      <c r="N139" s="38" t="inlineStr"/>
      <c r="O139" s="40">
        <f>IF(AND($B139&gt;=CurMonthStart,$B139&lt;=CurMonthEnd),$K139,0)</f>
        <v/>
      </c>
    </row>
    <row r="140">
      <c r="A140" s="38">
        <f>ROW()-5</f>
        <v/>
      </c>
      <c r="B140" s="39" t="n">
        <v>46133</v>
      </c>
      <c r="C140" s="38" t="inlineStr">
        <is>
          <t>Comcast Xfinity</t>
        </is>
      </c>
      <c r="D140" s="38">
        <f>IFERROR(INDEX(Dim_Vendor[VendorID],MATCH($C140,Dim_Vendor[VendorName],0)),"")</f>
        <v/>
      </c>
      <c r="E140" s="38" t="inlineStr">
        <is>
          <t>Utilities</t>
        </is>
      </c>
      <c r="F140" s="38">
        <f>IFERROR(INDEX(Dim_Category[CategoryID],MATCH($E140,Dim_Category[CategoryName],0)),"")</f>
        <v/>
      </c>
      <c r="G140" s="38" t="inlineStr">
        <is>
          <t>Checking</t>
        </is>
      </c>
      <c r="H140" s="38">
        <f>IFERROR(INDEX(Dim_Account[AccountID],MATCH($G140,Dim_Account[AccountName],0)),"")</f>
        <v/>
      </c>
      <c r="I140" s="38" t="inlineStr">
        <is>
          <t>ACH</t>
        </is>
      </c>
      <c r="J140" s="38">
        <f>IFERROR(INDEX(Dim_PaymentMethod[PaymentMethodID],MATCH($I140,Dim_PaymentMethod[MethodName],0)),"")</f>
        <v/>
      </c>
      <c r="K140" s="40" t="n">
        <v>81.38</v>
      </c>
      <c r="L140" s="38" t="inlineStr">
        <is>
          <t>Need</t>
        </is>
      </c>
      <c r="M140" s="38" t="inlineStr">
        <is>
          <t>Yes</t>
        </is>
      </c>
      <c r="N140" s="38" t="inlineStr">
        <is>
          <t>Internet</t>
        </is>
      </c>
      <c r="O140" s="40">
        <f>IF(AND($B140&gt;=CurMonthStart,$B140&lt;=CurMonthEnd),$K140,0)</f>
        <v/>
      </c>
    </row>
    <row r="141">
      <c r="A141" s="38">
        <f>ROW()-5</f>
        <v/>
      </c>
      <c r="B141" s="39" t="n">
        <v>46136</v>
      </c>
      <c r="C141" s="38" t="inlineStr">
        <is>
          <t>Verizon Wireless</t>
        </is>
      </c>
      <c r="D141" s="38">
        <f>IFERROR(INDEX(Dim_Vendor[VendorID],MATCH($C141,Dim_Vendor[VendorName],0)),"")</f>
        <v/>
      </c>
      <c r="E141" s="38" t="inlineStr">
        <is>
          <t>Utilities</t>
        </is>
      </c>
      <c r="F141" s="38">
        <f>IFERROR(INDEX(Dim_Category[CategoryID],MATCH($E141,Dim_Category[CategoryName],0)),"")</f>
        <v/>
      </c>
      <c r="G141" s="38" t="inlineStr">
        <is>
          <t>Checking</t>
        </is>
      </c>
      <c r="H141" s="38">
        <f>IFERROR(INDEX(Dim_Account[AccountID],MATCH($G141,Dim_Account[AccountName],0)),"")</f>
        <v/>
      </c>
      <c r="I141" s="38" t="inlineStr">
        <is>
          <t>ACH</t>
        </is>
      </c>
      <c r="J141" s="38">
        <f>IFERROR(INDEX(Dim_PaymentMethod[PaymentMethodID],MATCH($I141,Dim_PaymentMethod[MethodName],0)),"")</f>
        <v/>
      </c>
      <c r="K141" s="40" t="n">
        <v>89.72</v>
      </c>
      <c r="L141" s="38" t="inlineStr">
        <is>
          <t>Need</t>
        </is>
      </c>
      <c r="M141" s="38" t="inlineStr">
        <is>
          <t>Yes</t>
        </is>
      </c>
      <c r="N141" s="38" t="inlineStr">
        <is>
          <t>Mobile phone</t>
        </is>
      </c>
      <c r="O141" s="40">
        <f>IF(AND($B141&gt;=CurMonthStart,$B141&lt;=CurMonthEnd),$K141,0)</f>
        <v/>
      </c>
    </row>
    <row r="142">
      <c r="A142" s="38">
        <f>ROW()-5</f>
        <v/>
      </c>
      <c r="B142" s="39" t="n">
        <v>46139</v>
      </c>
      <c r="C142" s="38" t="inlineStr">
        <is>
          <t>State Farm Insurance</t>
        </is>
      </c>
      <c r="D142" s="38">
        <f>IFERROR(INDEX(Dim_Vendor[VendorID],MATCH($C142,Dim_Vendor[VendorName],0)),"")</f>
        <v/>
      </c>
      <c r="E142" s="38" t="inlineStr">
        <is>
          <t>Insurance</t>
        </is>
      </c>
      <c r="F142" s="38">
        <f>IFERROR(INDEX(Dim_Category[CategoryID],MATCH($E142,Dim_Category[CategoryName],0)),"")</f>
        <v/>
      </c>
      <c r="G142" s="38" t="inlineStr">
        <is>
          <t>Checking</t>
        </is>
      </c>
      <c r="H142" s="38">
        <f>IFERROR(INDEX(Dim_Account[AccountID],MATCH($G142,Dim_Account[AccountName],0)),"")</f>
        <v/>
      </c>
      <c r="I142" s="38" t="inlineStr">
        <is>
          <t>ACH</t>
        </is>
      </c>
      <c r="J142" s="38">
        <f>IFERROR(INDEX(Dim_PaymentMethod[PaymentMethodID],MATCH($I142,Dim_PaymentMethod[MethodName],0)),"")</f>
        <v/>
      </c>
      <c r="K142" s="40" t="n">
        <v>147.96</v>
      </c>
      <c r="L142" s="38" t="inlineStr">
        <is>
          <t>Need</t>
        </is>
      </c>
      <c r="M142" s="38" t="inlineStr">
        <is>
          <t>Yes</t>
        </is>
      </c>
      <c r="N142" s="38" t="inlineStr">
        <is>
          <t>Auto + home insurance</t>
        </is>
      </c>
      <c r="O142" s="40">
        <f>IF(AND($B142&gt;=CurMonthStart,$B142&lt;=CurMonthEnd),$K142,0)</f>
        <v/>
      </c>
    </row>
    <row r="143">
      <c r="A143" s="38">
        <f>ROW()-5</f>
        <v/>
      </c>
      <c r="B143" s="39" t="n">
        <v>46115</v>
      </c>
      <c r="C143" s="38" t="inlineStr">
        <is>
          <t>Kaiser Permanente</t>
        </is>
      </c>
      <c r="D143" s="38">
        <f>IFERROR(INDEX(Dim_Vendor[VendorID],MATCH($C143,Dim_Vendor[VendorName],0)),"")</f>
        <v/>
      </c>
      <c r="E143" s="38" t="inlineStr">
        <is>
          <t>Healthcare</t>
        </is>
      </c>
      <c r="F143" s="38">
        <f>IFERROR(INDEX(Dim_Category[CategoryID],MATCH($E143,Dim_Category[CategoryName],0)),"")</f>
        <v/>
      </c>
      <c r="G143" s="38" t="inlineStr">
        <is>
          <t>Credit Card</t>
        </is>
      </c>
      <c r="H143" s="38">
        <f>IFERROR(INDEX(Dim_Account[AccountID],MATCH($G143,Dim_Account[AccountName],0)),"")</f>
        <v/>
      </c>
      <c r="I143" s="38" t="inlineStr">
        <is>
          <t>Credit Card</t>
        </is>
      </c>
      <c r="J143" s="38">
        <f>IFERROR(INDEX(Dim_PaymentMethod[PaymentMethodID],MATCH($I143,Dim_PaymentMethod[MethodName],0)),"")</f>
        <v/>
      </c>
      <c r="K143" s="40" t="n">
        <v>45.28</v>
      </c>
      <c r="L143" s="38" t="inlineStr">
        <is>
          <t>Need</t>
        </is>
      </c>
      <c r="M143" s="38" t="inlineStr">
        <is>
          <t>No</t>
        </is>
      </c>
      <c r="N143" s="38" t="inlineStr">
        <is>
          <t>Copay</t>
        </is>
      </c>
      <c r="O143" s="40">
        <f>IF(AND($B143&gt;=CurMonthStart,$B143&lt;=CurMonthEnd),$K143,0)</f>
        <v/>
      </c>
    </row>
    <row r="144">
      <c r="A144" s="38">
        <f>ROW()-5</f>
        <v/>
      </c>
      <c r="B144" s="39" t="n">
        <v>46118</v>
      </c>
      <c r="C144" s="38" t="inlineStr">
        <is>
          <t>Chipotle</t>
        </is>
      </c>
      <c r="D144" s="38">
        <f>IFERROR(INDEX(Dim_Vendor[VendorID],MATCH($C144,Dim_Vendor[VendorName],0)),"")</f>
        <v/>
      </c>
      <c r="E144" s="38" t="inlineStr">
        <is>
          <t>Dining &amp; Entertainment</t>
        </is>
      </c>
      <c r="F144" s="38">
        <f>IFERROR(INDEX(Dim_Category[CategoryID],MATCH($E144,Dim_Category[CategoryName],0)),"")</f>
        <v/>
      </c>
      <c r="G144" s="38" t="inlineStr">
        <is>
          <t>Credit Card</t>
        </is>
      </c>
      <c r="H144" s="38">
        <f>IFERROR(INDEX(Dim_Account[AccountID],MATCH($G144,Dim_Account[AccountName],0)),"")</f>
        <v/>
      </c>
      <c r="I144" s="38" t="inlineStr">
        <is>
          <t>Credit Card</t>
        </is>
      </c>
      <c r="J144" s="38">
        <f>IFERROR(INDEX(Dim_PaymentMethod[PaymentMethodID],MATCH($I144,Dim_PaymentMethod[MethodName],0)),"")</f>
        <v/>
      </c>
      <c r="K144" s="40" t="n">
        <v>14.25</v>
      </c>
      <c r="L144" s="38" t="inlineStr">
        <is>
          <t>Want</t>
        </is>
      </c>
      <c r="M144" s="38" t="inlineStr">
        <is>
          <t>No</t>
        </is>
      </c>
      <c r="N144" s="38" t="inlineStr"/>
      <c r="O144" s="40">
        <f>IF(AND($B144&gt;=CurMonthStart,$B144&lt;=CurMonthEnd),$K144,0)</f>
        <v/>
      </c>
    </row>
    <row r="145">
      <c r="A145" s="38">
        <f>ROW()-5</f>
        <v/>
      </c>
      <c r="B145" s="39" t="n">
        <v>46121</v>
      </c>
      <c r="C145" s="38" t="inlineStr">
        <is>
          <t>Netflix</t>
        </is>
      </c>
      <c r="D145" s="38">
        <f>IFERROR(INDEX(Dim_Vendor[VendorID],MATCH($C145,Dim_Vendor[VendorName],0)),"")</f>
        <v/>
      </c>
      <c r="E145" s="38" t="inlineStr">
        <is>
          <t>Dining &amp; Entertainment</t>
        </is>
      </c>
      <c r="F145" s="38">
        <f>IFERROR(INDEX(Dim_Category[CategoryID],MATCH($E145,Dim_Category[CategoryName],0)),"")</f>
        <v/>
      </c>
      <c r="G145" s="38" t="inlineStr">
        <is>
          <t>Credit Card</t>
        </is>
      </c>
      <c r="H145" s="38">
        <f>IFERROR(INDEX(Dim_Account[AccountID],MATCH($G145,Dim_Account[AccountName],0)),"")</f>
        <v/>
      </c>
      <c r="I145" s="38" t="inlineStr">
        <is>
          <t>Credit Card</t>
        </is>
      </c>
      <c r="J145" s="38">
        <f>IFERROR(INDEX(Dim_PaymentMethod[PaymentMethodID],MATCH($I145,Dim_PaymentMethod[MethodName],0)),"")</f>
        <v/>
      </c>
      <c r="K145" s="40" t="n">
        <v>15.49</v>
      </c>
      <c r="L145" s="38" t="inlineStr">
        <is>
          <t>Want</t>
        </is>
      </c>
      <c r="M145" s="38" t="inlineStr">
        <is>
          <t>Yes</t>
        </is>
      </c>
      <c r="N145" s="38" t="inlineStr">
        <is>
          <t>Streaming subscription</t>
        </is>
      </c>
      <c r="O145" s="40">
        <f>IF(AND($B145&gt;=CurMonthStart,$B145&lt;=CurMonthEnd),$K145,0)</f>
        <v/>
      </c>
    </row>
    <row r="146">
      <c r="A146" s="38">
        <f>ROW()-5</f>
        <v/>
      </c>
      <c r="B146" s="39" t="n">
        <v>46124</v>
      </c>
      <c r="C146" s="38" t="inlineStr">
        <is>
          <t>AMC Theatres</t>
        </is>
      </c>
      <c r="D146" s="38">
        <f>IFERROR(INDEX(Dim_Vendor[VendorID],MATCH($C146,Dim_Vendor[VendorName],0)),"")</f>
        <v/>
      </c>
      <c r="E146" s="38" t="inlineStr">
        <is>
          <t>Dining &amp; Entertainment</t>
        </is>
      </c>
      <c r="F146" s="38">
        <f>IFERROR(INDEX(Dim_Category[CategoryID],MATCH($E146,Dim_Category[CategoryName],0)),"")</f>
        <v/>
      </c>
      <c r="G146" s="38" t="inlineStr">
        <is>
          <t>Credit Card</t>
        </is>
      </c>
      <c r="H146" s="38">
        <f>IFERROR(INDEX(Dim_Account[AccountID],MATCH($G146,Dim_Account[AccountName],0)),"")</f>
        <v/>
      </c>
      <c r="I146" s="38" t="inlineStr">
        <is>
          <t>Credit Card</t>
        </is>
      </c>
      <c r="J146" s="38">
        <f>IFERROR(INDEX(Dim_PaymentMethod[PaymentMethodID],MATCH($I146,Dim_PaymentMethod[MethodName],0)),"")</f>
        <v/>
      </c>
      <c r="K146" s="40" t="n">
        <v>33.43</v>
      </c>
      <c r="L146" s="38" t="inlineStr">
        <is>
          <t>Want</t>
        </is>
      </c>
      <c r="M146" s="38" t="inlineStr">
        <is>
          <t>No</t>
        </is>
      </c>
      <c r="N146" s="38" t="inlineStr"/>
      <c r="O146" s="40">
        <f>IF(AND($B146&gt;=CurMonthStart,$B146&lt;=CurMonthEnd),$K146,0)</f>
        <v/>
      </c>
    </row>
    <row r="147">
      <c r="A147" s="38">
        <f>ROW()-5</f>
        <v/>
      </c>
      <c r="B147" s="39" t="n">
        <v>46127</v>
      </c>
      <c r="C147" s="38" t="inlineStr">
        <is>
          <t>Planet Fitness</t>
        </is>
      </c>
      <c r="D147" s="38">
        <f>IFERROR(INDEX(Dim_Vendor[VendorID],MATCH($C147,Dim_Vendor[VendorName],0)),"")</f>
        <v/>
      </c>
      <c r="E147" s="38" t="inlineStr">
        <is>
          <t>Personal Care</t>
        </is>
      </c>
      <c r="F147" s="38">
        <f>IFERROR(INDEX(Dim_Category[CategoryID],MATCH($E147,Dim_Category[CategoryName],0)),"")</f>
        <v/>
      </c>
      <c r="G147" s="38" t="inlineStr">
        <is>
          <t>Checking</t>
        </is>
      </c>
      <c r="H147" s="38">
        <f>IFERROR(INDEX(Dim_Account[AccountID],MATCH($G147,Dim_Account[AccountName],0)),"")</f>
        <v/>
      </c>
      <c r="I147" s="38" t="inlineStr">
        <is>
          <t>ACH</t>
        </is>
      </c>
      <c r="J147" s="38">
        <f>IFERROR(INDEX(Dim_PaymentMethod[PaymentMethodID],MATCH($I147,Dim_PaymentMethod[MethodName],0)),"")</f>
        <v/>
      </c>
      <c r="K147" s="40" t="n">
        <v>25.11</v>
      </c>
      <c r="L147" s="38" t="inlineStr">
        <is>
          <t>Want</t>
        </is>
      </c>
      <c r="M147" s="38" t="inlineStr">
        <is>
          <t>Yes</t>
        </is>
      </c>
      <c r="N147" s="38" t="inlineStr">
        <is>
          <t>Gym membership</t>
        </is>
      </c>
      <c r="O147" s="40">
        <f>IF(AND($B147&gt;=CurMonthStart,$B147&lt;=CurMonthEnd),$K147,0)</f>
        <v/>
      </c>
    </row>
    <row r="148">
      <c r="A148" s="38">
        <f>ROW()-5</f>
        <v/>
      </c>
      <c r="B148" s="39" t="n">
        <v>46130</v>
      </c>
      <c r="C148" s="38" t="inlineStr">
        <is>
          <t>Amazon</t>
        </is>
      </c>
      <c r="D148" s="38">
        <f>IFERROR(INDEX(Dim_Vendor[VendorID],MATCH($C148,Dim_Vendor[VendorName],0)),"")</f>
        <v/>
      </c>
      <c r="E148" s="38" t="inlineStr">
        <is>
          <t>Shopping</t>
        </is>
      </c>
      <c r="F148" s="38">
        <f>IFERROR(INDEX(Dim_Category[CategoryID],MATCH($E148,Dim_Category[CategoryName],0)),"")</f>
        <v/>
      </c>
      <c r="G148" s="38" t="inlineStr">
        <is>
          <t>Credit Card</t>
        </is>
      </c>
      <c r="H148" s="38">
        <f>IFERROR(INDEX(Dim_Account[AccountID],MATCH($G148,Dim_Account[AccountName],0)),"")</f>
        <v/>
      </c>
      <c r="I148" s="38" t="inlineStr">
        <is>
          <t>Credit Card</t>
        </is>
      </c>
      <c r="J148" s="38">
        <f>IFERROR(INDEX(Dim_PaymentMethod[PaymentMethodID],MATCH($I148,Dim_PaymentMethod[MethodName],0)),"")</f>
        <v/>
      </c>
      <c r="K148" s="40" t="n">
        <v>63</v>
      </c>
      <c r="L148" s="38" t="inlineStr">
        <is>
          <t>Want</t>
        </is>
      </c>
      <c r="M148" s="38" t="inlineStr">
        <is>
          <t>No</t>
        </is>
      </c>
      <c r="N148" s="38" t="inlineStr"/>
      <c r="O148" s="40">
        <f>IF(AND($B148&gt;=CurMonthStart,$B148&lt;=CurMonthEnd),$K148,0)</f>
        <v/>
      </c>
    </row>
    <row r="149">
      <c r="A149" s="38">
        <f>ROW()-5</f>
        <v/>
      </c>
      <c r="B149" s="39" t="n">
        <v>46133</v>
      </c>
      <c r="C149" s="38" t="inlineStr">
        <is>
          <t>Target</t>
        </is>
      </c>
      <c r="D149" s="38">
        <f>IFERROR(INDEX(Dim_Vendor[VendorID],MATCH($C149,Dim_Vendor[VendorName],0)),"")</f>
        <v/>
      </c>
      <c r="E149" s="38" t="inlineStr">
        <is>
          <t>Shopping</t>
        </is>
      </c>
      <c r="F149" s="38">
        <f>IFERROR(INDEX(Dim_Category[CategoryID],MATCH($E149,Dim_Category[CategoryName],0)),"")</f>
        <v/>
      </c>
      <c r="G149" s="38" t="inlineStr">
        <is>
          <t>Credit Card</t>
        </is>
      </c>
      <c r="H149" s="38">
        <f>IFERROR(INDEX(Dim_Account[AccountID],MATCH($G149,Dim_Account[AccountName],0)),"")</f>
        <v/>
      </c>
      <c r="I149" s="38" t="inlineStr">
        <is>
          <t>Credit Card</t>
        </is>
      </c>
      <c r="J149" s="38">
        <f>IFERROR(INDEX(Dim_PaymentMethod[PaymentMethodID],MATCH($I149,Dim_PaymentMethod[MethodName],0)),"")</f>
        <v/>
      </c>
      <c r="K149" s="40" t="n">
        <v>52.79</v>
      </c>
      <c r="L149" s="38" t="inlineStr">
        <is>
          <t>Want</t>
        </is>
      </c>
      <c r="M149" s="38" t="inlineStr">
        <is>
          <t>No</t>
        </is>
      </c>
      <c r="N149" s="38" t="inlineStr"/>
      <c r="O149" s="40">
        <f>IF(AND($B149&gt;=CurMonthStart,$B149&lt;=CurMonthEnd),$K149,0)</f>
        <v/>
      </c>
    </row>
    <row r="150">
      <c r="A150" s="38">
        <f>ROW()-5</f>
        <v/>
      </c>
      <c r="B150" s="39" t="n">
        <v>46145</v>
      </c>
      <c r="C150" s="38" t="inlineStr">
        <is>
          <t>Mortgage Lender</t>
        </is>
      </c>
      <c r="D150" s="38">
        <f>IFERROR(INDEX(Dim_Vendor[VendorID],MATCH($C150,Dim_Vendor[VendorName],0)),"")</f>
        <v/>
      </c>
      <c r="E150" s="38" t="inlineStr">
        <is>
          <t>Mortgage</t>
        </is>
      </c>
      <c r="F150" s="38">
        <f>IFERROR(INDEX(Dim_Category[CategoryID],MATCH($E150,Dim_Category[CategoryName],0)),"")</f>
        <v/>
      </c>
      <c r="G150" s="38" t="inlineStr">
        <is>
          <t>Checking</t>
        </is>
      </c>
      <c r="H150" s="38">
        <f>IFERROR(INDEX(Dim_Account[AccountID],MATCH($G150,Dim_Account[AccountName],0)),"")</f>
        <v/>
      </c>
      <c r="I150" s="38" t="inlineStr">
        <is>
          <t>ACH</t>
        </is>
      </c>
      <c r="J150" s="38">
        <f>IFERROR(INDEX(Dim_PaymentMethod[PaymentMethodID],MATCH($I150,Dim_PaymentMethod[MethodName],0)),"")</f>
        <v/>
      </c>
      <c r="K150" s="40" t="n">
        <v>1984.7</v>
      </c>
      <c r="L150" s="38" t="inlineStr">
        <is>
          <t>Need</t>
        </is>
      </c>
      <c r="M150" s="38" t="inlineStr">
        <is>
          <t>Yes</t>
        </is>
      </c>
      <c r="N150" s="38" t="inlineStr">
        <is>
          <t>Monthly mortgage payment</t>
        </is>
      </c>
      <c r="O150" s="40">
        <f>IF(AND($B150&gt;=CurMonthStart,$B150&lt;=CurMonthEnd),$K150,0)</f>
        <v/>
      </c>
    </row>
    <row r="151">
      <c r="A151" s="38">
        <f>ROW()-5</f>
        <v/>
      </c>
      <c r="B151" s="39" t="n">
        <v>46148</v>
      </c>
      <c r="C151" s="38" t="inlineStr">
        <is>
          <t>Whole Foods</t>
        </is>
      </c>
      <c r="D151" s="38">
        <f>IFERROR(INDEX(Dim_Vendor[VendorID],MATCH($C151,Dim_Vendor[VendorName],0)),"")</f>
        <v/>
      </c>
      <c r="E151" s="38" t="inlineStr">
        <is>
          <t>Groceries</t>
        </is>
      </c>
      <c r="F151" s="38">
        <f>IFERROR(INDEX(Dim_Category[CategoryID],MATCH($E151,Dim_Category[CategoryName],0)),"")</f>
        <v/>
      </c>
      <c r="G151" s="38" t="inlineStr">
        <is>
          <t>Credit Card</t>
        </is>
      </c>
      <c r="H151" s="38">
        <f>IFERROR(INDEX(Dim_Account[AccountID],MATCH($G151,Dim_Account[AccountName],0)),"")</f>
        <v/>
      </c>
      <c r="I151" s="38" t="inlineStr">
        <is>
          <t>Credit Card</t>
        </is>
      </c>
      <c r="J151" s="38">
        <f>IFERROR(INDEX(Dim_PaymentMethod[PaymentMethodID],MATCH($I151,Dim_PaymentMethod[MethodName],0)),"")</f>
        <v/>
      </c>
      <c r="K151" s="40" t="n">
        <v>199.22</v>
      </c>
      <c r="L151" s="38" t="inlineStr">
        <is>
          <t>Need</t>
        </is>
      </c>
      <c r="M151" s="38" t="inlineStr">
        <is>
          <t>No</t>
        </is>
      </c>
      <c r="N151" s="38" t="inlineStr"/>
      <c r="O151" s="40">
        <f>IF(AND($B151&gt;=CurMonthStart,$B151&lt;=CurMonthEnd),$K151,0)</f>
        <v/>
      </c>
    </row>
    <row r="152">
      <c r="A152" s="38">
        <f>ROW()-5</f>
        <v/>
      </c>
      <c r="B152" s="39" t="n">
        <v>46151</v>
      </c>
      <c r="C152" s="38" t="inlineStr">
        <is>
          <t>Costco</t>
        </is>
      </c>
      <c r="D152" s="38">
        <f>IFERROR(INDEX(Dim_Vendor[VendorID],MATCH($C152,Dim_Vendor[VendorName],0)),"")</f>
        <v/>
      </c>
      <c r="E152" s="38" t="inlineStr">
        <is>
          <t>Groceries</t>
        </is>
      </c>
      <c r="F152" s="38">
        <f>IFERROR(INDEX(Dim_Category[CategoryID],MATCH($E152,Dim_Category[CategoryName],0)),"")</f>
        <v/>
      </c>
      <c r="G152" s="38" t="inlineStr">
        <is>
          <t>Credit Card</t>
        </is>
      </c>
      <c r="H152" s="38">
        <f>IFERROR(INDEX(Dim_Account[AccountID],MATCH($G152,Dim_Account[AccountName],0)),"")</f>
        <v/>
      </c>
      <c r="I152" s="38" t="inlineStr">
        <is>
          <t>Credit Card</t>
        </is>
      </c>
      <c r="J152" s="38">
        <f>IFERROR(INDEX(Dim_PaymentMethod[PaymentMethodID],MATCH($I152,Dim_PaymentMethod[MethodName],0)),"")</f>
        <v/>
      </c>
      <c r="K152" s="40" t="n">
        <v>259.95</v>
      </c>
      <c r="L152" s="38" t="inlineStr">
        <is>
          <t>Need</t>
        </is>
      </c>
      <c r="M152" s="38" t="inlineStr">
        <is>
          <t>No</t>
        </is>
      </c>
      <c r="N152" s="38" t="inlineStr">
        <is>
          <t>Bulk groceries</t>
        </is>
      </c>
      <c r="O152" s="40">
        <f>IF(AND($B152&gt;=CurMonthStart,$B152&lt;=CurMonthEnd),$K152,0)</f>
        <v/>
      </c>
    </row>
    <row r="153">
      <c r="A153" s="38">
        <f>ROW()-5</f>
        <v/>
      </c>
      <c r="B153" s="39" t="n">
        <v>46154</v>
      </c>
      <c r="C153" s="38" t="inlineStr">
        <is>
          <t>Shell Gas Station</t>
        </is>
      </c>
      <c r="D153" s="38">
        <f>IFERROR(INDEX(Dim_Vendor[VendorID],MATCH($C153,Dim_Vendor[VendorName],0)),"")</f>
        <v/>
      </c>
      <c r="E153" s="38" t="inlineStr">
        <is>
          <t>Car</t>
        </is>
      </c>
      <c r="F153" s="38">
        <f>IFERROR(INDEX(Dim_Category[CategoryID],MATCH($E153,Dim_Category[CategoryName],0)),"")</f>
        <v/>
      </c>
      <c r="G153" s="38" t="inlineStr">
        <is>
          <t>Credit Card</t>
        </is>
      </c>
      <c r="H153" s="38">
        <f>IFERROR(INDEX(Dim_Account[AccountID],MATCH($G153,Dim_Account[AccountName],0)),"")</f>
        <v/>
      </c>
      <c r="I153" s="38" t="inlineStr">
        <is>
          <t>Credit Card</t>
        </is>
      </c>
      <c r="J153" s="38">
        <f>IFERROR(INDEX(Dim_PaymentMethod[PaymentMethodID],MATCH($I153,Dim_PaymentMethod[MethodName],0)),"")</f>
        <v/>
      </c>
      <c r="K153" s="40" t="n">
        <v>55.08</v>
      </c>
      <c r="L153" s="38" t="inlineStr">
        <is>
          <t>Need</t>
        </is>
      </c>
      <c r="M153" s="38" t="inlineStr">
        <is>
          <t>No</t>
        </is>
      </c>
      <c r="N153" s="38" t="inlineStr">
        <is>
          <t>Gas</t>
        </is>
      </c>
      <c r="O153" s="40">
        <f>IF(AND($B153&gt;=CurMonthStart,$B153&lt;=CurMonthEnd),$K153,0)</f>
        <v/>
      </c>
    </row>
    <row r="154">
      <c r="A154" s="38">
        <f>ROW()-5</f>
        <v/>
      </c>
      <c r="B154" s="39" t="n">
        <v>46157</v>
      </c>
      <c r="C154" s="38" t="inlineStr">
        <is>
          <t>AutoZone</t>
        </is>
      </c>
      <c r="D154" s="38">
        <f>IFERROR(INDEX(Dim_Vendor[VendorID],MATCH($C154,Dim_Vendor[VendorName],0)),"")</f>
        <v/>
      </c>
      <c r="E154" s="38" t="inlineStr">
        <is>
          <t>Car</t>
        </is>
      </c>
      <c r="F154" s="38">
        <f>IFERROR(INDEX(Dim_Category[CategoryID],MATCH($E154,Dim_Category[CategoryName],0)),"")</f>
        <v/>
      </c>
      <c r="G154" s="38" t="inlineStr">
        <is>
          <t>Credit Card</t>
        </is>
      </c>
      <c r="H154" s="38">
        <f>IFERROR(INDEX(Dim_Account[AccountID],MATCH($G154,Dim_Account[AccountName],0)),"")</f>
        <v/>
      </c>
      <c r="I154" s="38" t="inlineStr">
        <is>
          <t>Credit Card</t>
        </is>
      </c>
      <c r="J154" s="38">
        <f>IFERROR(INDEX(Dim_PaymentMethod[PaymentMethodID],MATCH($I154,Dim_PaymentMethod[MethodName],0)),"")</f>
        <v/>
      </c>
      <c r="K154" s="40" t="n">
        <v>37.56</v>
      </c>
      <c r="L154" s="38" t="inlineStr">
        <is>
          <t>Need</t>
        </is>
      </c>
      <c r="M154" s="38" t="inlineStr">
        <is>
          <t>No</t>
        </is>
      </c>
      <c r="N154" s="38" t="inlineStr">
        <is>
          <t>Wiper blades / oil</t>
        </is>
      </c>
      <c r="O154" s="40">
        <f>IF(AND($B154&gt;=CurMonthStart,$B154&lt;=CurMonthEnd),$K154,0)</f>
        <v/>
      </c>
    </row>
    <row r="155">
      <c r="A155" s="38">
        <f>ROW()-5</f>
        <v/>
      </c>
      <c r="B155" s="39" t="n">
        <v>46160</v>
      </c>
      <c r="C155" s="38" t="inlineStr">
        <is>
          <t>City Electric Co</t>
        </is>
      </c>
      <c r="D155" s="38">
        <f>IFERROR(INDEX(Dim_Vendor[VendorID],MATCH($C155,Dim_Vendor[VendorName],0)),"")</f>
        <v/>
      </c>
      <c r="E155" s="38" t="inlineStr">
        <is>
          <t>Utilities</t>
        </is>
      </c>
      <c r="F155" s="38">
        <f>IFERROR(INDEX(Dim_Category[CategoryID],MATCH($E155,Dim_Category[CategoryName],0)),"")</f>
        <v/>
      </c>
      <c r="G155" s="38" t="inlineStr">
        <is>
          <t>Checking</t>
        </is>
      </c>
      <c r="H155" s="38">
        <f>IFERROR(INDEX(Dim_Account[AccountID],MATCH($G155,Dim_Account[AccountName],0)),"")</f>
        <v/>
      </c>
      <c r="I155" s="38" t="inlineStr">
        <is>
          <t>ACH</t>
        </is>
      </c>
      <c r="J155" s="38">
        <f>IFERROR(INDEX(Dim_PaymentMethod[PaymentMethodID],MATCH($I155,Dim_PaymentMethod[MethodName],0)),"")</f>
        <v/>
      </c>
      <c r="K155" s="40" t="n">
        <v>119.5</v>
      </c>
      <c r="L155" s="38" t="inlineStr">
        <is>
          <t>Need</t>
        </is>
      </c>
      <c r="M155" s="38" t="inlineStr">
        <is>
          <t>Yes</t>
        </is>
      </c>
      <c r="N155" s="38" t="inlineStr"/>
      <c r="O155" s="40">
        <f>IF(AND($B155&gt;=CurMonthStart,$B155&lt;=CurMonthEnd),$K155,0)</f>
        <v/>
      </c>
    </row>
    <row r="156">
      <c r="A156" s="38">
        <f>ROW()-5</f>
        <v/>
      </c>
      <c r="B156" s="39" t="n">
        <v>46163</v>
      </c>
      <c r="C156" s="38" t="inlineStr">
        <is>
          <t>Comcast Xfinity</t>
        </is>
      </c>
      <c r="D156" s="38">
        <f>IFERROR(INDEX(Dim_Vendor[VendorID],MATCH($C156,Dim_Vendor[VendorName],0)),"")</f>
        <v/>
      </c>
      <c r="E156" s="38" t="inlineStr">
        <is>
          <t>Utilities</t>
        </is>
      </c>
      <c r="F156" s="38">
        <f>IFERROR(INDEX(Dim_Category[CategoryID],MATCH($E156,Dim_Category[CategoryName],0)),"")</f>
        <v/>
      </c>
      <c r="G156" s="38" t="inlineStr">
        <is>
          <t>Checking</t>
        </is>
      </c>
      <c r="H156" s="38">
        <f>IFERROR(INDEX(Dim_Account[AccountID],MATCH($G156,Dim_Account[AccountName],0)),"")</f>
        <v/>
      </c>
      <c r="I156" s="38" t="inlineStr">
        <is>
          <t>ACH</t>
        </is>
      </c>
      <c r="J156" s="38">
        <f>IFERROR(INDEX(Dim_PaymentMethod[PaymentMethodID],MATCH($I156,Dim_PaymentMethod[MethodName],0)),"")</f>
        <v/>
      </c>
      <c r="K156" s="40" t="n">
        <v>84.83</v>
      </c>
      <c r="L156" s="38" t="inlineStr">
        <is>
          <t>Need</t>
        </is>
      </c>
      <c r="M156" s="38" t="inlineStr">
        <is>
          <t>Yes</t>
        </is>
      </c>
      <c r="N156" s="38" t="inlineStr">
        <is>
          <t>Internet</t>
        </is>
      </c>
      <c r="O156" s="40">
        <f>IF(AND($B156&gt;=CurMonthStart,$B156&lt;=CurMonthEnd),$K156,0)</f>
        <v/>
      </c>
    </row>
    <row r="157">
      <c r="A157" s="38">
        <f>ROW()-5</f>
        <v/>
      </c>
      <c r="B157" s="39" t="n">
        <v>46166</v>
      </c>
      <c r="C157" s="38" t="inlineStr">
        <is>
          <t>Verizon Wireless</t>
        </is>
      </c>
      <c r="D157" s="38">
        <f>IFERROR(INDEX(Dim_Vendor[VendorID],MATCH($C157,Dim_Vendor[VendorName],0)),"")</f>
        <v/>
      </c>
      <c r="E157" s="38" t="inlineStr">
        <is>
          <t>Utilities</t>
        </is>
      </c>
      <c r="F157" s="38">
        <f>IFERROR(INDEX(Dim_Category[CategoryID],MATCH($E157,Dim_Category[CategoryName],0)),"")</f>
        <v/>
      </c>
      <c r="G157" s="38" t="inlineStr">
        <is>
          <t>Checking</t>
        </is>
      </c>
      <c r="H157" s="38">
        <f>IFERROR(INDEX(Dim_Account[AccountID],MATCH($G157,Dim_Account[AccountName],0)),"")</f>
        <v/>
      </c>
      <c r="I157" s="38" t="inlineStr">
        <is>
          <t>ACH</t>
        </is>
      </c>
      <c r="J157" s="38">
        <f>IFERROR(INDEX(Dim_PaymentMethod[PaymentMethodID],MATCH($I157,Dim_PaymentMethod[MethodName],0)),"")</f>
        <v/>
      </c>
      <c r="K157" s="40" t="n">
        <v>101.79</v>
      </c>
      <c r="L157" s="38" t="inlineStr">
        <is>
          <t>Need</t>
        </is>
      </c>
      <c r="M157" s="38" t="inlineStr">
        <is>
          <t>Yes</t>
        </is>
      </c>
      <c r="N157" s="38" t="inlineStr">
        <is>
          <t>Mobile phone</t>
        </is>
      </c>
      <c r="O157" s="40">
        <f>IF(AND($B157&gt;=CurMonthStart,$B157&lt;=CurMonthEnd),$K157,0)</f>
        <v/>
      </c>
    </row>
    <row r="158">
      <c r="A158" s="38">
        <f>ROW()-5</f>
        <v/>
      </c>
      <c r="B158" s="39" t="n">
        <v>46169</v>
      </c>
      <c r="C158" s="38" t="inlineStr">
        <is>
          <t>State Farm Insurance</t>
        </is>
      </c>
      <c r="D158" s="38">
        <f>IFERROR(INDEX(Dim_Vendor[VendorID],MATCH($C158,Dim_Vendor[VendorName],0)),"")</f>
        <v/>
      </c>
      <c r="E158" s="38" t="inlineStr">
        <is>
          <t>Insurance</t>
        </is>
      </c>
      <c r="F158" s="38">
        <f>IFERROR(INDEX(Dim_Category[CategoryID],MATCH($E158,Dim_Category[CategoryName],0)),"")</f>
        <v/>
      </c>
      <c r="G158" s="38" t="inlineStr">
        <is>
          <t>Checking</t>
        </is>
      </c>
      <c r="H158" s="38">
        <f>IFERROR(INDEX(Dim_Account[AccountID],MATCH($G158,Dim_Account[AccountName],0)),"")</f>
        <v/>
      </c>
      <c r="I158" s="38" t="inlineStr">
        <is>
          <t>ACH</t>
        </is>
      </c>
      <c r="J158" s="38">
        <f>IFERROR(INDEX(Dim_PaymentMethod[PaymentMethodID],MATCH($I158,Dim_PaymentMethod[MethodName],0)),"")</f>
        <v/>
      </c>
      <c r="K158" s="40" t="n">
        <v>132.59</v>
      </c>
      <c r="L158" s="38" t="inlineStr">
        <is>
          <t>Need</t>
        </is>
      </c>
      <c r="M158" s="38" t="inlineStr">
        <is>
          <t>Yes</t>
        </is>
      </c>
      <c r="N158" s="38" t="inlineStr">
        <is>
          <t>Auto + home insurance</t>
        </is>
      </c>
      <c r="O158" s="40">
        <f>IF(AND($B158&gt;=CurMonthStart,$B158&lt;=CurMonthEnd),$K158,0)</f>
        <v/>
      </c>
    </row>
    <row r="159">
      <c r="A159" s="38">
        <f>ROW()-5</f>
        <v/>
      </c>
      <c r="B159" s="39" t="n">
        <v>46145</v>
      </c>
      <c r="C159" s="38" t="inlineStr">
        <is>
          <t>Kaiser Permanente</t>
        </is>
      </c>
      <c r="D159" s="38">
        <f>IFERROR(INDEX(Dim_Vendor[VendorID],MATCH($C159,Dim_Vendor[VendorName],0)),"")</f>
        <v/>
      </c>
      <c r="E159" s="38" t="inlineStr">
        <is>
          <t>Healthcare</t>
        </is>
      </c>
      <c r="F159" s="38">
        <f>IFERROR(INDEX(Dim_Category[CategoryID],MATCH($E159,Dim_Category[CategoryName],0)),"")</f>
        <v/>
      </c>
      <c r="G159" s="38" t="inlineStr">
        <is>
          <t>Credit Card</t>
        </is>
      </c>
      <c r="H159" s="38">
        <f>IFERROR(INDEX(Dim_Account[AccountID],MATCH($G159,Dim_Account[AccountName],0)),"")</f>
        <v/>
      </c>
      <c r="I159" s="38" t="inlineStr">
        <is>
          <t>Credit Card</t>
        </is>
      </c>
      <c r="J159" s="38">
        <f>IFERROR(INDEX(Dim_PaymentMethod[PaymentMethodID],MATCH($I159,Dim_PaymentMethod[MethodName],0)),"")</f>
        <v/>
      </c>
      <c r="K159" s="40" t="n">
        <v>44.9</v>
      </c>
      <c r="L159" s="38" t="inlineStr">
        <is>
          <t>Need</t>
        </is>
      </c>
      <c r="M159" s="38" t="inlineStr">
        <is>
          <t>No</t>
        </is>
      </c>
      <c r="N159" s="38" t="inlineStr">
        <is>
          <t>Copay</t>
        </is>
      </c>
      <c r="O159" s="40">
        <f>IF(AND($B159&gt;=CurMonthStart,$B159&lt;=CurMonthEnd),$K159,0)</f>
        <v/>
      </c>
    </row>
    <row r="160">
      <c r="A160" s="38">
        <f>ROW()-5</f>
        <v/>
      </c>
      <c r="B160" s="39" t="n">
        <v>46148</v>
      </c>
      <c r="C160" s="38" t="inlineStr">
        <is>
          <t>Chipotle</t>
        </is>
      </c>
      <c r="D160" s="38">
        <f>IFERROR(INDEX(Dim_Vendor[VendorID],MATCH($C160,Dim_Vendor[VendorName],0)),"")</f>
        <v/>
      </c>
      <c r="E160" s="38" t="inlineStr">
        <is>
          <t>Dining &amp; Entertainment</t>
        </is>
      </c>
      <c r="F160" s="38">
        <f>IFERROR(INDEX(Dim_Category[CategoryID],MATCH($E160,Dim_Category[CategoryName],0)),"")</f>
        <v/>
      </c>
      <c r="G160" s="38" t="inlineStr">
        <is>
          <t>Credit Card</t>
        </is>
      </c>
      <c r="H160" s="38">
        <f>IFERROR(INDEX(Dim_Account[AccountID],MATCH($G160,Dim_Account[AccountName],0)),"")</f>
        <v/>
      </c>
      <c r="I160" s="38" t="inlineStr">
        <is>
          <t>Credit Card</t>
        </is>
      </c>
      <c r="J160" s="38">
        <f>IFERROR(INDEX(Dim_PaymentMethod[PaymentMethodID],MATCH($I160,Dim_PaymentMethod[MethodName],0)),"")</f>
        <v/>
      </c>
      <c r="K160" s="40" t="n">
        <v>14.25</v>
      </c>
      <c r="L160" s="38" t="inlineStr">
        <is>
          <t>Want</t>
        </is>
      </c>
      <c r="M160" s="38" t="inlineStr">
        <is>
          <t>No</t>
        </is>
      </c>
      <c r="N160" s="38" t="inlineStr"/>
      <c r="O160" s="40">
        <f>IF(AND($B160&gt;=CurMonthStart,$B160&lt;=CurMonthEnd),$K160,0)</f>
        <v/>
      </c>
    </row>
    <row r="161">
      <c r="A161" s="38">
        <f>ROW()-5</f>
        <v/>
      </c>
      <c r="B161" s="39" t="n">
        <v>46151</v>
      </c>
      <c r="C161" s="38" t="inlineStr">
        <is>
          <t>Netflix</t>
        </is>
      </c>
      <c r="D161" s="38">
        <f>IFERROR(INDEX(Dim_Vendor[VendorID],MATCH($C161,Dim_Vendor[VendorName],0)),"")</f>
        <v/>
      </c>
      <c r="E161" s="38" t="inlineStr">
        <is>
          <t>Dining &amp; Entertainment</t>
        </is>
      </c>
      <c r="F161" s="38">
        <f>IFERROR(INDEX(Dim_Category[CategoryID],MATCH($E161,Dim_Category[CategoryName],0)),"")</f>
        <v/>
      </c>
      <c r="G161" s="38" t="inlineStr">
        <is>
          <t>Credit Card</t>
        </is>
      </c>
      <c r="H161" s="38">
        <f>IFERROR(INDEX(Dim_Account[AccountID],MATCH($G161,Dim_Account[AccountName],0)),"")</f>
        <v/>
      </c>
      <c r="I161" s="38" t="inlineStr">
        <is>
          <t>Credit Card</t>
        </is>
      </c>
      <c r="J161" s="38">
        <f>IFERROR(INDEX(Dim_PaymentMethod[PaymentMethodID],MATCH($I161,Dim_PaymentMethod[MethodName],0)),"")</f>
        <v/>
      </c>
      <c r="K161" s="40" t="n">
        <v>15.49</v>
      </c>
      <c r="L161" s="38" t="inlineStr">
        <is>
          <t>Want</t>
        </is>
      </c>
      <c r="M161" s="38" t="inlineStr">
        <is>
          <t>Yes</t>
        </is>
      </c>
      <c r="N161" s="38" t="inlineStr">
        <is>
          <t>Streaming subscription</t>
        </is>
      </c>
      <c r="O161" s="40">
        <f>IF(AND($B161&gt;=CurMonthStart,$B161&lt;=CurMonthEnd),$K161,0)</f>
        <v/>
      </c>
    </row>
    <row r="162">
      <c r="A162" s="38">
        <f>ROW()-5</f>
        <v/>
      </c>
      <c r="B162" s="39" t="n">
        <v>46154</v>
      </c>
      <c r="C162" s="38" t="inlineStr">
        <is>
          <t>AMC Theatres</t>
        </is>
      </c>
      <c r="D162" s="38">
        <f>IFERROR(INDEX(Dim_Vendor[VendorID],MATCH($C162,Dim_Vendor[VendorName],0)),"")</f>
        <v/>
      </c>
      <c r="E162" s="38" t="inlineStr">
        <is>
          <t>Dining &amp; Entertainment</t>
        </is>
      </c>
      <c r="F162" s="38">
        <f>IFERROR(INDEX(Dim_Category[CategoryID],MATCH($E162,Dim_Category[CategoryName],0)),"")</f>
        <v/>
      </c>
      <c r="G162" s="38" t="inlineStr">
        <is>
          <t>Credit Card</t>
        </is>
      </c>
      <c r="H162" s="38">
        <f>IFERROR(INDEX(Dim_Account[AccountID],MATCH($G162,Dim_Account[AccountName],0)),"")</f>
        <v/>
      </c>
      <c r="I162" s="38" t="inlineStr">
        <is>
          <t>Credit Card</t>
        </is>
      </c>
      <c r="J162" s="38">
        <f>IFERROR(INDEX(Dim_PaymentMethod[PaymentMethodID],MATCH($I162,Dim_PaymentMethod[MethodName],0)),"")</f>
        <v/>
      </c>
      <c r="K162" s="40" t="n">
        <v>29.79</v>
      </c>
      <c r="L162" s="38" t="inlineStr">
        <is>
          <t>Want</t>
        </is>
      </c>
      <c r="M162" s="38" t="inlineStr">
        <is>
          <t>No</t>
        </is>
      </c>
      <c r="N162" s="38" t="inlineStr"/>
      <c r="O162" s="40">
        <f>IF(AND($B162&gt;=CurMonthStart,$B162&lt;=CurMonthEnd),$K162,0)</f>
        <v/>
      </c>
    </row>
    <row r="163">
      <c r="A163" s="38">
        <f>ROW()-5</f>
        <v/>
      </c>
      <c r="B163" s="39" t="n">
        <v>46157</v>
      </c>
      <c r="C163" s="38" t="inlineStr">
        <is>
          <t>Planet Fitness</t>
        </is>
      </c>
      <c r="D163" s="38">
        <f>IFERROR(INDEX(Dim_Vendor[VendorID],MATCH($C163,Dim_Vendor[VendorName],0)),"")</f>
        <v/>
      </c>
      <c r="E163" s="38" t="inlineStr">
        <is>
          <t>Personal Care</t>
        </is>
      </c>
      <c r="F163" s="38">
        <f>IFERROR(INDEX(Dim_Category[CategoryID],MATCH($E163,Dim_Category[CategoryName],0)),"")</f>
        <v/>
      </c>
      <c r="G163" s="38" t="inlineStr">
        <is>
          <t>Checking</t>
        </is>
      </c>
      <c r="H163" s="38">
        <f>IFERROR(INDEX(Dim_Account[AccountID],MATCH($G163,Dim_Account[AccountName],0)),"")</f>
        <v/>
      </c>
      <c r="I163" s="38" t="inlineStr">
        <is>
          <t>ACH</t>
        </is>
      </c>
      <c r="J163" s="38">
        <f>IFERROR(INDEX(Dim_PaymentMethod[PaymentMethodID],MATCH($I163,Dim_PaymentMethod[MethodName],0)),"")</f>
        <v/>
      </c>
      <c r="K163" s="40" t="n">
        <v>26.03</v>
      </c>
      <c r="L163" s="38" t="inlineStr">
        <is>
          <t>Want</t>
        </is>
      </c>
      <c r="M163" s="38" t="inlineStr">
        <is>
          <t>Yes</t>
        </is>
      </c>
      <c r="N163" s="38" t="inlineStr">
        <is>
          <t>Gym membership</t>
        </is>
      </c>
      <c r="O163" s="40">
        <f>IF(AND($B163&gt;=CurMonthStart,$B163&lt;=CurMonthEnd),$K163,0)</f>
        <v/>
      </c>
    </row>
    <row r="164">
      <c r="A164" s="38">
        <f>ROW()-5</f>
        <v/>
      </c>
      <c r="B164" s="39" t="n">
        <v>46160</v>
      </c>
      <c r="C164" s="38" t="inlineStr">
        <is>
          <t>Amazon</t>
        </is>
      </c>
      <c r="D164" s="38">
        <f>IFERROR(INDEX(Dim_Vendor[VendorID],MATCH($C164,Dim_Vendor[VendorName],0)),"")</f>
        <v/>
      </c>
      <c r="E164" s="38" t="inlineStr">
        <is>
          <t>Shopping</t>
        </is>
      </c>
      <c r="F164" s="38">
        <f>IFERROR(INDEX(Dim_Category[CategoryID],MATCH($E164,Dim_Category[CategoryName],0)),"")</f>
        <v/>
      </c>
      <c r="G164" s="38" t="inlineStr">
        <is>
          <t>Credit Card</t>
        </is>
      </c>
      <c r="H164" s="38">
        <f>IFERROR(INDEX(Dim_Account[AccountID],MATCH($G164,Dim_Account[AccountName],0)),"")</f>
        <v/>
      </c>
      <c r="I164" s="38" t="inlineStr">
        <is>
          <t>Credit Card</t>
        </is>
      </c>
      <c r="J164" s="38">
        <f>IFERROR(INDEX(Dim_PaymentMethod[PaymentMethodID],MATCH($I164,Dim_PaymentMethod[MethodName],0)),"")</f>
        <v/>
      </c>
      <c r="K164" s="40" t="n">
        <v>71.38</v>
      </c>
      <c r="L164" s="38" t="inlineStr">
        <is>
          <t>Want</t>
        </is>
      </c>
      <c r="M164" s="38" t="inlineStr">
        <is>
          <t>No</t>
        </is>
      </c>
      <c r="N164" s="38" t="inlineStr"/>
      <c r="O164" s="40">
        <f>IF(AND($B164&gt;=CurMonthStart,$B164&lt;=CurMonthEnd),$K164,0)</f>
        <v/>
      </c>
    </row>
    <row r="165">
      <c r="A165" s="38">
        <f>ROW()-5</f>
        <v/>
      </c>
      <c r="B165" s="39" t="n">
        <v>46163</v>
      </c>
      <c r="C165" s="38" t="inlineStr">
        <is>
          <t>Target</t>
        </is>
      </c>
      <c r="D165" s="38">
        <f>IFERROR(INDEX(Dim_Vendor[VendorID],MATCH($C165,Dim_Vendor[VendorName],0)),"")</f>
        <v/>
      </c>
      <c r="E165" s="38" t="inlineStr">
        <is>
          <t>Shopping</t>
        </is>
      </c>
      <c r="F165" s="38">
        <f>IFERROR(INDEX(Dim_Category[CategoryID],MATCH($E165,Dim_Category[CategoryName],0)),"")</f>
        <v/>
      </c>
      <c r="G165" s="38" t="inlineStr">
        <is>
          <t>Credit Card</t>
        </is>
      </c>
      <c r="H165" s="38">
        <f>IFERROR(INDEX(Dim_Account[AccountID],MATCH($G165,Dim_Account[AccountName],0)),"")</f>
        <v/>
      </c>
      <c r="I165" s="38" t="inlineStr">
        <is>
          <t>Credit Card</t>
        </is>
      </c>
      <c r="J165" s="38">
        <f>IFERROR(INDEX(Dim_PaymentMethod[PaymentMethodID],MATCH($I165,Dim_PaymentMethod[MethodName],0)),"")</f>
        <v/>
      </c>
      <c r="K165" s="40" t="n">
        <v>51.09</v>
      </c>
      <c r="L165" s="38" t="inlineStr">
        <is>
          <t>Want</t>
        </is>
      </c>
      <c r="M165" s="38" t="inlineStr">
        <is>
          <t>No</t>
        </is>
      </c>
      <c r="N165" s="38" t="inlineStr"/>
      <c r="O165" s="40">
        <f>IF(AND($B165&gt;=CurMonthStart,$B165&lt;=CurMonthEnd),$K165,0)</f>
        <v/>
      </c>
    </row>
    <row r="166">
      <c r="A166" s="38">
        <f>ROW()-5</f>
        <v/>
      </c>
      <c r="B166" s="39" t="n">
        <v>46176</v>
      </c>
      <c r="C166" s="38" t="inlineStr">
        <is>
          <t>Mortgage Lender</t>
        </is>
      </c>
      <c r="D166" s="38">
        <f>IFERROR(INDEX(Dim_Vendor[VendorID],MATCH($C166,Dim_Vendor[VendorName],0)),"")</f>
        <v/>
      </c>
      <c r="E166" s="38" t="inlineStr">
        <is>
          <t>Mortgage</t>
        </is>
      </c>
      <c r="F166" s="38">
        <f>IFERROR(INDEX(Dim_Category[CategoryID],MATCH($E166,Dim_Category[CategoryName],0)),"")</f>
        <v/>
      </c>
      <c r="G166" s="38" t="inlineStr">
        <is>
          <t>Checking</t>
        </is>
      </c>
      <c r="H166" s="38">
        <f>IFERROR(INDEX(Dim_Account[AccountID],MATCH($G166,Dim_Account[AccountName],0)),"")</f>
        <v/>
      </c>
      <c r="I166" s="38" t="inlineStr">
        <is>
          <t>ACH</t>
        </is>
      </c>
      <c r="J166" s="38">
        <f>IFERROR(INDEX(Dim_PaymentMethod[PaymentMethodID],MATCH($I166,Dim_PaymentMethod[MethodName],0)),"")</f>
        <v/>
      </c>
      <c r="K166" s="40" t="n">
        <v>2141.5</v>
      </c>
      <c r="L166" s="38" t="inlineStr">
        <is>
          <t>Need</t>
        </is>
      </c>
      <c r="M166" s="38" t="inlineStr">
        <is>
          <t>Yes</t>
        </is>
      </c>
      <c r="N166" s="38" t="inlineStr">
        <is>
          <t>Monthly mortgage payment</t>
        </is>
      </c>
      <c r="O166" s="40">
        <f>IF(AND($B166&gt;=CurMonthStart,$B166&lt;=CurMonthEnd),$K166,0)</f>
        <v/>
      </c>
    </row>
    <row r="167">
      <c r="A167" s="38">
        <f>ROW()-5</f>
        <v/>
      </c>
      <c r="B167" s="39" t="n">
        <v>46179</v>
      </c>
      <c r="C167" s="38" t="inlineStr">
        <is>
          <t>Whole Foods</t>
        </is>
      </c>
      <c r="D167" s="38">
        <f>IFERROR(INDEX(Dim_Vendor[VendorID],MATCH($C167,Dim_Vendor[VendorName],0)),"")</f>
        <v/>
      </c>
      <c r="E167" s="38" t="inlineStr">
        <is>
          <t>Groceries</t>
        </is>
      </c>
      <c r="F167" s="38">
        <f>IFERROR(INDEX(Dim_Category[CategoryID],MATCH($E167,Dim_Category[CategoryName],0)),"")</f>
        <v/>
      </c>
      <c r="G167" s="38" t="inlineStr">
        <is>
          <t>Credit Card</t>
        </is>
      </c>
      <c r="H167" s="38">
        <f>IFERROR(INDEX(Dim_Account[AccountID],MATCH($G167,Dim_Account[AccountName],0)),"")</f>
        <v/>
      </c>
      <c r="I167" s="38" t="inlineStr">
        <is>
          <t>Credit Card</t>
        </is>
      </c>
      <c r="J167" s="38">
        <f>IFERROR(INDEX(Dim_PaymentMethod[PaymentMethodID],MATCH($I167,Dim_PaymentMethod[MethodName],0)),"")</f>
        <v/>
      </c>
      <c r="K167" s="40" t="n">
        <v>187.91</v>
      </c>
      <c r="L167" s="38" t="inlineStr">
        <is>
          <t>Need</t>
        </is>
      </c>
      <c r="M167" s="38" t="inlineStr">
        <is>
          <t>No</t>
        </is>
      </c>
      <c r="N167" s="38" t="inlineStr"/>
      <c r="O167" s="40">
        <f>IF(AND($B167&gt;=CurMonthStart,$B167&lt;=CurMonthEnd),$K167,0)</f>
        <v/>
      </c>
    </row>
    <row r="168">
      <c r="A168" s="38">
        <f>ROW()-5</f>
        <v/>
      </c>
      <c r="B168" s="39" t="n">
        <v>46182</v>
      </c>
      <c r="C168" s="38" t="inlineStr">
        <is>
          <t>Costco</t>
        </is>
      </c>
      <c r="D168" s="38">
        <f>IFERROR(INDEX(Dim_Vendor[VendorID],MATCH($C168,Dim_Vendor[VendorName],0)),"")</f>
        <v/>
      </c>
      <c r="E168" s="38" t="inlineStr">
        <is>
          <t>Groceries</t>
        </is>
      </c>
      <c r="F168" s="38">
        <f>IFERROR(INDEX(Dim_Category[CategoryID],MATCH($E168,Dim_Category[CategoryName],0)),"")</f>
        <v/>
      </c>
      <c r="G168" s="38" t="inlineStr">
        <is>
          <t>Credit Card</t>
        </is>
      </c>
      <c r="H168" s="38">
        <f>IFERROR(INDEX(Dim_Account[AccountID],MATCH($G168,Dim_Account[AccountName],0)),"")</f>
        <v/>
      </c>
      <c r="I168" s="38" t="inlineStr">
        <is>
          <t>Credit Card</t>
        </is>
      </c>
      <c r="J168" s="38">
        <f>IFERROR(INDEX(Dim_PaymentMethod[PaymentMethodID],MATCH($I168,Dim_PaymentMethod[MethodName],0)),"")</f>
        <v/>
      </c>
      <c r="K168" s="40" t="n">
        <v>235.89</v>
      </c>
      <c r="L168" s="38" t="inlineStr">
        <is>
          <t>Need</t>
        </is>
      </c>
      <c r="M168" s="38" t="inlineStr">
        <is>
          <t>No</t>
        </is>
      </c>
      <c r="N168" s="38" t="inlineStr">
        <is>
          <t>Bulk groceries</t>
        </is>
      </c>
      <c r="O168" s="40">
        <f>IF(AND($B168&gt;=CurMonthStart,$B168&lt;=CurMonthEnd),$K168,0)</f>
        <v/>
      </c>
    </row>
    <row r="169">
      <c r="A169" s="38">
        <f>ROW()-5</f>
        <v/>
      </c>
      <c r="B169" s="39" t="n">
        <v>46185</v>
      </c>
      <c r="C169" s="38" t="inlineStr">
        <is>
          <t>Shell Gas Station</t>
        </is>
      </c>
      <c r="D169" s="38">
        <f>IFERROR(INDEX(Dim_Vendor[VendorID],MATCH($C169,Dim_Vendor[VendorName],0)),"")</f>
        <v/>
      </c>
      <c r="E169" s="38" t="inlineStr">
        <is>
          <t>Car</t>
        </is>
      </c>
      <c r="F169" s="38">
        <f>IFERROR(INDEX(Dim_Category[CategoryID],MATCH($E169,Dim_Category[CategoryName],0)),"")</f>
        <v/>
      </c>
      <c r="G169" s="38" t="inlineStr">
        <is>
          <t>Credit Card</t>
        </is>
      </c>
      <c r="H169" s="38">
        <f>IFERROR(INDEX(Dim_Account[AccountID],MATCH($G169,Dim_Account[AccountName],0)),"")</f>
        <v/>
      </c>
      <c r="I169" s="38" t="inlineStr">
        <is>
          <t>Credit Card</t>
        </is>
      </c>
      <c r="J169" s="38">
        <f>IFERROR(INDEX(Dim_PaymentMethod[PaymentMethodID],MATCH($I169,Dim_PaymentMethod[MethodName],0)),"")</f>
        <v/>
      </c>
      <c r="K169" s="40" t="n">
        <v>55.42</v>
      </c>
      <c r="L169" s="38" t="inlineStr">
        <is>
          <t>Need</t>
        </is>
      </c>
      <c r="M169" s="38" t="inlineStr">
        <is>
          <t>No</t>
        </is>
      </c>
      <c r="N169" s="38" t="inlineStr">
        <is>
          <t>Gas</t>
        </is>
      </c>
      <c r="O169" s="40">
        <f>IF(AND($B169&gt;=CurMonthStart,$B169&lt;=CurMonthEnd),$K169,0)</f>
        <v/>
      </c>
    </row>
    <row r="170">
      <c r="A170" s="38">
        <f>ROW()-5</f>
        <v/>
      </c>
      <c r="B170" s="39" t="n">
        <v>46188</v>
      </c>
      <c r="C170" s="38" t="inlineStr">
        <is>
          <t>AutoZone</t>
        </is>
      </c>
      <c r="D170" s="38">
        <f>IFERROR(INDEX(Dim_Vendor[VendorID],MATCH($C170,Dim_Vendor[VendorName],0)),"")</f>
        <v/>
      </c>
      <c r="E170" s="38" t="inlineStr">
        <is>
          <t>Car</t>
        </is>
      </c>
      <c r="F170" s="38">
        <f>IFERROR(INDEX(Dim_Category[CategoryID],MATCH($E170,Dim_Category[CategoryName],0)),"")</f>
        <v/>
      </c>
      <c r="G170" s="38" t="inlineStr">
        <is>
          <t>Credit Card</t>
        </is>
      </c>
      <c r="H170" s="38">
        <f>IFERROR(INDEX(Dim_Account[AccountID],MATCH($G170,Dim_Account[AccountName],0)),"")</f>
        <v/>
      </c>
      <c r="I170" s="38" t="inlineStr">
        <is>
          <t>Credit Card</t>
        </is>
      </c>
      <c r="J170" s="38">
        <f>IFERROR(INDEX(Dim_PaymentMethod[PaymentMethodID],MATCH($I170,Dim_PaymentMethod[MethodName],0)),"")</f>
        <v/>
      </c>
      <c r="K170" s="40" t="n">
        <v>38.27</v>
      </c>
      <c r="L170" s="38" t="inlineStr">
        <is>
          <t>Need</t>
        </is>
      </c>
      <c r="M170" s="38" t="inlineStr">
        <is>
          <t>No</t>
        </is>
      </c>
      <c r="N170" s="38" t="inlineStr">
        <is>
          <t>Wiper blades / oil</t>
        </is>
      </c>
      <c r="O170" s="40">
        <f>IF(AND($B170&gt;=CurMonthStart,$B170&lt;=CurMonthEnd),$K170,0)</f>
        <v/>
      </c>
    </row>
    <row r="171">
      <c r="A171" s="38">
        <f>ROW()-5</f>
        <v/>
      </c>
      <c r="B171" s="39" t="n">
        <v>46191</v>
      </c>
      <c r="C171" s="38" t="inlineStr">
        <is>
          <t>City Electric Co</t>
        </is>
      </c>
      <c r="D171" s="38">
        <f>IFERROR(INDEX(Dim_Vendor[VendorID],MATCH($C171,Dim_Vendor[VendorName],0)),"")</f>
        <v/>
      </c>
      <c r="E171" s="38" t="inlineStr">
        <is>
          <t>Utilities</t>
        </is>
      </c>
      <c r="F171" s="38">
        <f>IFERROR(INDEX(Dim_Category[CategoryID],MATCH($E171,Dim_Category[CategoryName],0)),"")</f>
        <v/>
      </c>
      <c r="G171" s="38" t="inlineStr">
        <is>
          <t>Checking</t>
        </is>
      </c>
      <c r="H171" s="38">
        <f>IFERROR(INDEX(Dim_Account[AccountID],MATCH($G171,Dim_Account[AccountName],0)),"")</f>
        <v/>
      </c>
      <c r="I171" s="38" t="inlineStr">
        <is>
          <t>ACH</t>
        </is>
      </c>
      <c r="J171" s="38">
        <f>IFERROR(INDEX(Dim_PaymentMethod[PaymentMethodID],MATCH($I171,Dim_PaymentMethod[MethodName],0)),"")</f>
        <v/>
      </c>
      <c r="K171" s="40" t="n">
        <v>122.67</v>
      </c>
      <c r="L171" s="38" t="inlineStr">
        <is>
          <t>Need</t>
        </is>
      </c>
      <c r="M171" s="38" t="inlineStr">
        <is>
          <t>Yes</t>
        </is>
      </c>
      <c r="N171" s="38" t="inlineStr"/>
      <c r="O171" s="40">
        <f>IF(AND($B171&gt;=CurMonthStart,$B171&lt;=CurMonthEnd),$K171,0)</f>
        <v/>
      </c>
    </row>
    <row r="172">
      <c r="A172" s="38">
        <f>ROW()-5</f>
        <v/>
      </c>
      <c r="B172" s="39" t="n">
        <v>46194</v>
      </c>
      <c r="C172" s="38" t="inlineStr">
        <is>
          <t>Comcast Xfinity</t>
        </is>
      </c>
      <c r="D172" s="38">
        <f>IFERROR(INDEX(Dim_Vendor[VendorID],MATCH($C172,Dim_Vendor[VendorName],0)),"")</f>
        <v/>
      </c>
      <c r="E172" s="38" t="inlineStr">
        <is>
          <t>Utilities</t>
        </is>
      </c>
      <c r="F172" s="38">
        <f>IFERROR(INDEX(Dim_Category[CategoryID],MATCH($E172,Dim_Category[CategoryName],0)),"")</f>
        <v/>
      </c>
      <c r="G172" s="38" t="inlineStr">
        <is>
          <t>Checking</t>
        </is>
      </c>
      <c r="H172" s="38">
        <f>IFERROR(INDEX(Dim_Account[AccountID],MATCH($G172,Dim_Account[AccountName],0)),"")</f>
        <v/>
      </c>
      <c r="I172" s="38" t="inlineStr">
        <is>
          <t>ACH</t>
        </is>
      </c>
      <c r="J172" s="38">
        <f>IFERROR(INDEX(Dim_PaymentMethod[PaymentMethodID],MATCH($I172,Dim_PaymentMethod[MethodName],0)),"")</f>
        <v/>
      </c>
      <c r="K172" s="40" t="n">
        <v>80.48999999999999</v>
      </c>
      <c r="L172" s="38" t="inlineStr">
        <is>
          <t>Need</t>
        </is>
      </c>
      <c r="M172" s="38" t="inlineStr">
        <is>
          <t>Yes</t>
        </is>
      </c>
      <c r="N172" s="38" t="inlineStr">
        <is>
          <t>Internet</t>
        </is>
      </c>
      <c r="O172" s="40">
        <f>IF(AND($B172&gt;=CurMonthStart,$B172&lt;=CurMonthEnd),$K172,0)</f>
        <v/>
      </c>
    </row>
    <row r="173">
      <c r="A173" s="38">
        <f>ROW()-5</f>
        <v/>
      </c>
      <c r="B173" s="39" t="n">
        <v>46197</v>
      </c>
      <c r="C173" s="38" t="inlineStr">
        <is>
          <t>Verizon Wireless</t>
        </is>
      </c>
      <c r="D173" s="38">
        <f>IFERROR(INDEX(Dim_Vendor[VendorID],MATCH($C173,Dim_Vendor[VendorName],0)),"")</f>
        <v/>
      </c>
      <c r="E173" s="38" t="inlineStr">
        <is>
          <t>Utilities</t>
        </is>
      </c>
      <c r="F173" s="38">
        <f>IFERROR(INDEX(Dim_Category[CategoryID],MATCH($E173,Dim_Category[CategoryName],0)),"")</f>
        <v/>
      </c>
      <c r="G173" s="38" t="inlineStr">
        <is>
          <t>Checking</t>
        </is>
      </c>
      <c r="H173" s="38">
        <f>IFERROR(INDEX(Dim_Account[AccountID],MATCH($G173,Dim_Account[AccountName],0)),"")</f>
        <v/>
      </c>
      <c r="I173" s="38" t="inlineStr">
        <is>
          <t>ACH</t>
        </is>
      </c>
      <c r="J173" s="38">
        <f>IFERROR(INDEX(Dim_PaymentMethod[PaymentMethodID],MATCH($I173,Dim_PaymentMethod[MethodName],0)),"")</f>
        <v/>
      </c>
      <c r="K173" s="40" t="n">
        <v>98.48999999999999</v>
      </c>
      <c r="L173" s="38" t="inlineStr">
        <is>
          <t>Need</t>
        </is>
      </c>
      <c r="M173" s="38" t="inlineStr">
        <is>
          <t>Yes</t>
        </is>
      </c>
      <c r="N173" s="38" t="inlineStr">
        <is>
          <t>Mobile phone</t>
        </is>
      </c>
      <c r="O173" s="40">
        <f>IF(AND($B173&gt;=CurMonthStart,$B173&lt;=CurMonthEnd),$K173,0)</f>
        <v/>
      </c>
    </row>
    <row r="174">
      <c r="A174" s="38">
        <f>ROW()-5</f>
        <v/>
      </c>
      <c r="B174" s="39" t="n">
        <v>46200</v>
      </c>
      <c r="C174" s="38" t="inlineStr">
        <is>
          <t>State Farm Insurance</t>
        </is>
      </c>
      <c r="D174" s="38">
        <f>IFERROR(INDEX(Dim_Vendor[VendorID],MATCH($C174,Dim_Vendor[VendorName],0)),"")</f>
        <v/>
      </c>
      <c r="E174" s="38" t="inlineStr">
        <is>
          <t>Insurance</t>
        </is>
      </c>
      <c r="F174" s="38">
        <f>IFERROR(INDEX(Dim_Category[CategoryID],MATCH($E174,Dim_Category[CategoryName],0)),"")</f>
        <v/>
      </c>
      <c r="G174" s="38" t="inlineStr">
        <is>
          <t>Checking</t>
        </is>
      </c>
      <c r="H174" s="38">
        <f>IFERROR(INDEX(Dim_Account[AccountID],MATCH($G174,Dim_Account[AccountName],0)),"")</f>
        <v/>
      </c>
      <c r="I174" s="38" t="inlineStr">
        <is>
          <t>ACH</t>
        </is>
      </c>
      <c r="J174" s="38">
        <f>IFERROR(INDEX(Dim_PaymentMethod[PaymentMethodID],MATCH($I174,Dim_PaymentMethod[MethodName],0)),"")</f>
        <v/>
      </c>
      <c r="K174" s="40" t="n">
        <v>135.21</v>
      </c>
      <c r="L174" s="38" t="inlineStr">
        <is>
          <t>Need</t>
        </is>
      </c>
      <c r="M174" s="38" t="inlineStr">
        <is>
          <t>Yes</t>
        </is>
      </c>
      <c r="N174" s="38" t="inlineStr">
        <is>
          <t>Auto + home insurance</t>
        </is>
      </c>
      <c r="O174" s="40">
        <f>IF(AND($B174&gt;=CurMonthStart,$B174&lt;=CurMonthEnd),$K174,0)</f>
        <v/>
      </c>
    </row>
    <row r="175">
      <c r="A175" s="38">
        <f>ROW()-5</f>
        <v/>
      </c>
      <c r="B175" s="39" t="n">
        <v>46176</v>
      </c>
      <c r="C175" s="38" t="inlineStr">
        <is>
          <t>Kaiser Permanente</t>
        </is>
      </c>
      <c r="D175" s="38">
        <f>IFERROR(INDEX(Dim_Vendor[VendorID],MATCH($C175,Dim_Vendor[VendorName],0)),"")</f>
        <v/>
      </c>
      <c r="E175" s="38" t="inlineStr">
        <is>
          <t>Healthcare</t>
        </is>
      </c>
      <c r="F175" s="38">
        <f>IFERROR(INDEX(Dim_Category[CategoryID],MATCH($E175,Dim_Category[CategoryName],0)),"")</f>
        <v/>
      </c>
      <c r="G175" s="38" t="inlineStr">
        <is>
          <t>Credit Card</t>
        </is>
      </c>
      <c r="H175" s="38">
        <f>IFERROR(INDEX(Dim_Account[AccountID],MATCH($G175,Dim_Account[AccountName],0)),"")</f>
        <v/>
      </c>
      <c r="I175" s="38" t="inlineStr">
        <is>
          <t>Credit Card</t>
        </is>
      </c>
      <c r="J175" s="38">
        <f>IFERROR(INDEX(Dim_PaymentMethod[PaymentMethodID],MATCH($I175,Dim_PaymentMethod[MethodName],0)),"")</f>
        <v/>
      </c>
      <c r="K175" s="40" t="n">
        <v>43.64</v>
      </c>
      <c r="L175" s="38" t="inlineStr">
        <is>
          <t>Need</t>
        </is>
      </c>
      <c r="M175" s="38" t="inlineStr">
        <is>
          <t>No</t>
        </is>
      </c>
      <c r="N175" s="38" t="inlineStr">
        <is>
          <t>Copay</t>
        </is>
      </c>
      <c r="O175" s="40">
        <f>IF(AND($B175&gt;=CurMonthStart,$B175&lt;=CurMonthEnd),$K175,0)</f>
        <v/>
      </c>
    </row>
    <row r="176">
      <c r="A176" s="38">
        <f>ROW()-5</f>
        <v/>
      </c>
      <c r="B176" s="39" t="n">
        <v>46179</v>
      </c>
      <c r="C176" s="38" t="inlineStr">
        <is>
          <t>Chipotle</t>
        </is>
      </c>
      <c r="D176" s="38">
        <f>IFERROR(INDEX(Dim_Vendor[VendorID],MATCH($C176,Dim_Vendor[VendorName],0)),"")</f>
        <v/>
      </c>
      <c r="E176" s="38" t="inlineStr">
        <is>
          <t>Dining &amp; Entertainment</t>
        </is>
      </c>
      <c r="F176" s="38">
        <f>IFERROR(INDEX(Dim_Category[CategoryID],MATCH($E176,Dim_Category[CategoryName],0)),"")</f>
        <v/>
      </c>
      <c r="G176" s="38" t="inlineStr">
        <is>
          <t>Credit Card</t>
        </is>
      </c>
      <c r="H176" s="38">
        <f>IFERROR(INDEX(Dim_Account[AccountID],MATCH($G176,Dim_Account[AccountName],0)),"")</f>
        <v/>
      </c>
      <c r="I176" s="38" t="inlineStr">
        <is>
          <t>Credit Card</t>
        </is>
      </c>
      <c r="J176" s="38">
        <f>IFERROR(INDEX(Dim_PaymentMethod[PaymentMethodID],MATCH($I176,Dim_PaymentMethod[MethodName],0)),"")</f>
        <v/>
      </c>
      <c r="K176" s="40" t="n">
        <v>14.25</v>
      </c>
      <c r="L176" s="38" t="inlineStr">
        <is>
          <t>Want</t>
        </is>
      </c>
      <c r="M176" s="38" t="inlineStr">
        <is>
          <t>No</t>
        </is>
      </c>
      <c r="N176" s="38" t="inlineStr"/>
      <c r="O176" s="40">
        <f>IF(AND($B176&gt;=CurMonthStart,$B176&lt;=CurMonthEnd),$K176,0)</f>
        <v/>
      </c>
    </row>
    <row r="177">
      <c r="A177" s="38">
        <f>ROW()-5</f>
        <v/>
      </c>
      <c r="B177" s="39" t="n">
        <v>46182</v>
      </c>
      <c r="C177" s="38" t="inlineStr">
        <is>
          <t>Netflix</t>
        </is>
      </c>
      <c r="D177" s="38">
        <f>IFERROR(INDEX(Dim_Vendor[VendorID],MATCH($C177,Dim_Vendor[VendorName],0)),"")</f>
        <v/>
      </c>
      <c r="E177" s="38" t="inlineStr">
        <is>
          <t>Dining &amp; Entertainment</t>
        </is>
      </c>
      <c r="F177" s="38">
        <f>IFERROR(INDEX(Dim_Category[CategoryID],MATCH($E177,Dim_Category[CategoryName],0)),"")</f>
        <v/>
      </c>
      <c r="G177" s="38" t="inlineStr">
        <is>
          <t>Credit Card</t>
        </is>
      </c>
      <c r="H177" s="38">
        <f>IFERROR(INDEX(Dim_Account[AccountID],MATCH($G177,Dim_Account[AccountName],0)),"")</f>
        <v/>
      </c>
      <c r="I177" s="38" t="inlineStr">
        <is>
          <t>Credit Card</t>
        </is>
      </c>
      <c r="J177" s="38">
        <f>IFERROR(INDEX(Dim_PaymentMethod[PaymentMethodID],MATCH($I177,Dim_PaymentMethod[MethodName],0)),"")</f>
        <v/>
      </c>
      <c r="K177" s="40" t="n">
        <v>15.49</v>
      </c>
      <c r="L177" s="38" t="inlineStr">
        <is>
          <t>Want</t>
        </is>
      </c>
      <c r="M177" s="38" t="inlineStr">
        <is>
          <t>Yes</t>
        </is>
      </c>
      <c r="N177" s="38" t="inlineStr">
        <is>
          <t>Streaming subscription</t>
        </is>
      </c>
      <c r="O177" s="40">
        <f>IF(AND($B177&gt;=CurMonthStart,$B177&lt;=CurMonthEnd),$K177,0)</f>
        <v/>
      </c>
    </row>
    <row r="178">
      <c r="A178" s="38">
        <f>ROW()-5</f>
        <v/>
      </c>
      <c r="B178" s="39" t="n">
        <v>46185</v>
      </c>
      <c r="C178" s="38" t="inlineStr">
        <is>
          <t>AMC Theatres</t>
        </is>
      </c>
      <c r="D178" s="38">
        <f>IFERROR(INDEX(Dim_Vendor[VendorID],MATCH($C178,Dim_Vendor[VendorName],0)),"")</f>
        <v/>
      </c>
      <c r="E178" s="38" t="inlineStr">
        <is>
          <t>Dining &amp; Entertainment</t>
        </is>
      </c>
      <c r="F178" s="38">
        <f>IFERROR(INDEX(Dim_Category[CategoryID],MATCH($E178,Dim_Category[CategoryName],0)),"")</f>
        <v/>
      </c>
      <c r="G178" s="38" t="inlineStr">
        <is>
          <t>Credit Card</t>
        </is>
      </c>
      <c r="H178" s="38">
        <f>IFERROR(INDEX(Dim_Account[AccountID],MATCH($G178,Dim_Account[AccountName],0)),"")</f>
        <v/>
      </c>
      <c r="I178" s="38" t="inlineStr">
        <is>
          <t>Credit Card</t>
        </is>
      </c>
      <c r="J178" s="38">
        <f>IFERROR(INDEX(Dim_PaymentMethod[PaymentMethodID],MATCH($I178,Dim_PaymentMethod[MethodName],0)),"")</f>
        <v/>
      </c>
      <c r="K178" s="40" t="n">
        <v>34.54</v>
      </c>
      <c r="L178" s="38" t="inlineStr">
        <is>
          <t>Want</t>
        </is>
      </c>
      <c r="M178" s="38" t="inlineStr">
        <is>
          <t>No</t>
        </is>
      </c>
      <c r="N178" s="38" t="inlineStr"/>
      <c r="O178" s="40">
        <f>IF(AND($B178&gt;=CurMonthStart,$B178&lt;=CurMonthEnd),$K178,0)</f>
        <v/>
      </c>
    </row>
    <row r="179">
      <c r="A179" s="38">
        <f>ROW()-5</f>
        <v/>
      </c>
      <c r="B179" s="39" t="n">
        <v>46188</v>
      </c>
      <c r="C179" s="38" t="inlineStr">
        <is>
          <t>Planet Fitness</t>
        </is>
      </c>
      <c r="D179" s="38">
        <f>IFERROR(INDEX(Dim_Vendor[VendorID],MATCH($C179,Dim_Vendor[VendorName],0)),"")</f>
        <v/>
      </c>
      <c r="E179" s="38" t="inlineStr">
        <is>
          <t>Personal Care</t>
        </is>
      </c>
      <c r="F179" s="38">
        <f>IFERROR(INDEX(Dim_Category[CategoryID],MATCH($E179,Dim_Category[CategoryName],0)),"")</f>
        <v/>
      </c>
      <c r="G179" s="38" t="inlineStr">
        <is>
          <t>Checking</t>
        </is>
      </c>
      <c r="H179" s="38">
        <f>IFERROR(INDEX(Dim_Account[AccountID],MATCH($G179,Dim_Account[AccountName],0)),"")</f>
        <v/>
      </c>
      <c r="I179" s="38" t="inlineStr">
        <is>
          <t>ACH</t>
        </is>
      </c>
      <c r="J179" s="38">
        <f>IFERROR(INDEX(Dim_PaymentMethod[PaymentMethodID],MATCH($I179,Dim_PaymentMethod[MethodName],0)),"")</f>
        <v/>
      </c>
      <c r="K179" s="40" t="n">
        <v>25.59</v>
      </c>
      <c r="L179" s="38" t="inlineStr">
        <is>
          <t>Want</t>
        </is>
      </c>
      <c r="M179" s="38" t="inlineStr">
        <is>
          <t>Yes</t>
        </is>
      </c>
      <c r="N179" s="38" t="inlineStr">
        <is>
          <t>Gym membership</t>
        </is>
      </c>
      <c r="O179" s="40">
        <f>IF(AND($B179&gt;=CurMonthStart,$B179&lt;=CurMonthEnd),$K179,0)</f>
        <v/>
      </c>
    </row>
    <row r="180">
      <c r="A180" s="38">
        <f>ROW()-5</f>
        <v/>
      </c>
      <c r="B180" s="39" t="n">
        <v>46191</v>
      </c>
      <c r="C180" s="38" t="inlineStr">
        <is>
          <t>Amazon</t>
        </is>
      </c>
      <c r="D180" s="38">
        <f>IFERROR(INDEX(Dim_Vendor[VendorID],MATCH($C180,Dim_Vendor[VendorName],0)),"")</f>
        <v/>
      </c>
      <c r="E180" s="38" t="inlineStr">
        <is>
          <t>Shopping</t>
        </is>
      </c>
      <c r="F180" s="38">
        <f>IFERROR(INDEX(Dim_Category[CategoryID],MATCH($E180,Dim_Category[CategoryName],0)),"")</f>
        <v/>
      </c>
      <c r="G180" s="38" t="inlineStr">
        <is>
          <t>Credit Card</t>
        </is>
      </c>
      <c r="H180" s="38">
        <f>IFERROR(INDEX(Dim_Account[AccountID],MATCH($G180,Dim_Account[AccountName],0)),"")</f>
        <v/>
      </c>
      <c r="I180" s="38" t="inlineStr">
        <is>
          <t>Credit Card</t>
        </is>
      </c>
      <c r="J180" s="38">
        <f>IFERROR(INDEX(Dim_PaymentMethod[PaymentMethodID],MATCH($I180,Dim_PaymentMethod[MethodName],0)),"")</f>
        <v/>
      </c>
      <c r="K180" s="40" t="n">
        <v>67.79000000000001</v>
      </c>
      <c r="L180" s="38" t="inlineStr">
        <is>
          <t>Want</t>
        </is>
      </c>
      <c r="M180" s="38" t="inlineStr">
        <is>
          <t>No</t>
        </is>
      </c>
      <c r="N180" s="38" t="inlineStr"/>
      <c r="O180" s="40">
        <f>IF(AND($B180&gt;=CurMonthStart,$B180&lt;=CurMonthEnd),$K180,0)</f>
        <v/>
      </c>
    </row>
    <row r="181">
      <c r="A181" s="38">
        <f>ROW()-5</f>
        <v/>
      </c>
      <c r="B181" s="39" t="n">
        <v>46194</v>
      </c>
      <c r="C181" s="38" t="inlineStr">
        <is>
          <t>Target</t>
        </is>
      </c>
      <c r="D181" s="38">
        <f>IFERROR(INDEX(Dim_Vendor[VendorID],MATCH($C181,Dim_Vendor[VendorName],0)),"")</f>
        <v/>
      </c>
      <c r="E181" s="38" t="inlineStr">
        <is>
          <t>Shopping</t>
        </is>
      </c>
      <c r="F181" s="38">
        <f>IFERROR(INDEX(Dim_Category[CategoryID],MATCH($E181,Dim_Category[CategoryName],0)),"")</f>
        <v/>
      </c>
      <c r="G181" s="38" t="inlineStr">
        <is>
          <t>Credit Card</t>
        </is>
      </c>
      <c r="H181" s="38">
        <f>IFERROR(INDEX(Dim_Account[AccountID],MATCH($G181,Dim_Account[AccountName],0)),"")</f>
        <v/>
      </c>
      <c r="I181" s="38" t="inlineStr">
        <is>
          <t>Credit Card</t>
        </is>
      </c>
      <c r="J181" s="38">
        <f>IFERROR(INDEX(Dim_PaymentMethod[PaymentMethodID],MATCH($I181,Dim_PaymentMethod[MethodName],0)),"")</f>
        <v/>
      </c>
      <c r="K181" s="40" t="n">
        <v>54.47</v>
      </c>
      <c r="L181" s="38" t="inlineStr">
        <is>
          <t>Want</t>
        </is>
      </c>
      <c r="M181" s="38" t="inlineStr">
        <is>
          <t>No</t>
        </is>
      </c>
      <c r="N181" s="38" t="inlineStr"/>
      <c r="O181" s="40">
        <f>IF(AND($B181&gt;=CurMonthStart,$B181&lt;=CurMonthEnd),$K181,0)</f>
        <v/>
      </c>
    </row>
    <row r="182">
      <c r="A182" s="38">
        <f>ROW()-5</f>
        <v/>
      </c>
      <c r="B182" s="39" t="n">
        <v>46206</v>
      </c>
      <c r="C182" s="38" t="inlineStr">
        <is>
          <t>Mortgage Lender</t>
        </is>
      </c>
      <c r="D182" s="38">
        <f>IFERROR(INDEX(Dim_Vendor[VendorID],MATCH($C182,Dim_Vendor[VendorName],0)),"")</f>
        <v/>
      </c>
      <c r="E182" s="38" t="inlineStr">
        <is>
          <t>Mortgage</t>
        </is>
      </c>
      <c r="F182" s="38">
        <f>IFERROR(INDEX(Dim_Category[CategoryID],MATCH($E182,Dim_Category[CategoryName],0)),"")</f>
        <v/>
      </c>
      <c r="G182" s="38" t="inlineStr">
        <is>
          <t>Checking</t>
        </is>
      </c>
      <c r="H182" s="38">
        <f>IFERROR(INDEX(Dim_Account[AccountID],MATCH($G182,Dim_Account[AccountName],0)),"")</f>
        <v/>
      </c>
      <c r="I182" s="38" t="inlineStr">
        <is>
          <t>ACH</t>
        </is>
      </c>
      <c r="J182" s="38">
        <f>IFERROR(INDEX(Dim_PaymentMethod[PaymentMethodID],MATCH($I182,Dim_PaymentMethod[MethodName],0)),"")</f>
        <v/>
      </c>
      <c r="K182" s="40" t="n">
        <v>2019.63</v>
      </c>
      <c r="L182" s="38" t="inlineStr">
        <is>
          <t>Need</t>
        </is>
      </c>
      <c r="M182" s="38" t="inlineStr">
        <is>
          <t>Yes</t>
        </is>
      </c>
      <c r="N182" s="38" t="inlineStr">
        <is>
          <t>Monthly mortgage payment</t>
        </is>
      </c>
      <c r="O182" s="40">
        <f>IF(AND($B182&gt;=CurMonthStart,$B182&lt;=CurMonthEnd),$K182,0)</f>
        <v/>
      </c>
    </row>
    <row r="183">
      <c r="A183" s="38">
        <f>ROW()-5</f>
        <v/>
      </c>
      <c r="B183" s="39" t="n">
        <v>46209</v>
      </c>
      <c r="C183" s="38" t="inlineStr">
        <is>
          <t>Whole Foods</t>
        </is>
      </c>
      <c r="D183" s="38">
        <f>IFERROR(INDEX(Dim_Vendor[VendorID],MATCH($C183,Dim_Vendor[VendorName],0)),"")</f>
        <v/>
      </c>
      <c r="E183" s="38" t="inlineStr">
        <is>
          <t>Groceries</t>
        </is>
      </c>
      <c r="F183" s="38">
        <f>IFERROR(INDEX(Dim_Category[CategoryID],MATCH($E183,Dim_Category[CategoryName],0)),"")</f>
        <v/>
      </c>
      <c r="G183" s="38" t="inlineStr">
        <is>
          <t>Credit Card</t>
        </is>
      </c>
      <c r="H183" s="38">
        <f>IFERROR(INDEX(Dim_Account[AccountID],MATCH($G183,Dim_Account[AccountName],0)),"")</f>
        <v/>
      </c>
      <c r="I183" s="38" t="inlineStr">
        <is>
          <t>Credit Card</t>
        </is>
      </c>
      <c r="J183" s="38">
        <f>IFERROR(INDEX(Dim_PaymentMethod[PaymentMethodID],MATCH($I183,Dim_PaymentMethod[MethodName],0)),"")</f>
        <v/>
      </c>
      <c r="K183" s="40" t="n">
        <v>178.21</v>
      </c>
      <c r="L183" s="38" t="inlineStr">
        <is>
          <t>Need</t>
        </is>
      </c>
      <c r="M183" s="38" t="inlineStr">
        <is>
          <t>No</t>
        </is>
      </c>
      <c r="N183" s="38" t="inlineStr"/>
      <c r="O183" s="40">
        <f>IF(AND($B183&gt;=CurMonthStart,$B183&lt;=CurMonthEnd),$K183,0)</f>
        <v/>
      </c>
    </row>
    <row r="184">
      <c r="A184" s="38">
        <f>ROW()-5</f>
        <v/>
      </c>
      <c r="B184" s="39" t="n">
        <v>46212</v>
      </c>
      <c r="C184" s="38" t="inlineStr">
        <is>
          <t>Costco</t>
        </is>
      </c>
      <c r="D184" s="38">
        <f>IFERROR(INDEX(Dim_Vendor[VendorID],MATCH($C184,Dim_Vendor[VendorName],0)),"")</f>
        <v/>
      </c>
      <c r="E184" s="38" t="inlineStr">
        <is>
          <t>Groceries</t>
        </is>
      </c>
      <c r="F184" s="38">
        <f>IFERROR(INDEX(Dim_Category[CategoryID],MATCH($E184,Dim_Category[CategoryName],0)),"")</f>
        <v/>
      </c>
      <c r="G184" s="38" t="inlineStr">
        <is>
          <t>Credit Card</t>
        </is>
      </c>
      <c r="H184" s="38">
        <f>IFERROR(INDEX(Dim_Account[AccountID],MATCH($G184,Dim_Account[AccountName],0)),"")</f>
        <v/>
      </c>
      <c r="I184" s="38" t="inlineStr">
        <is>
          <t>Credit Card</t>
        </is>
      </c>
      <c r="J184" s="38">
        <f>IFERROR(INDEX(Dim_PaymentMethod[PaymentMethodID],MATCH($I184,Dim_PaymentMethod[MethodName],0)),"")</f>
        <v/>
      </c>
      <c r="K184" s="40" t="n">
        <v>238.75</v>
      </c>
      <c r="L184" s="38" t="inlineStr">
        <is>
          <t>Need</t>
        </is>
      </c>
      <c r="M184" s="38" t="inlineStr">
        <is>
          <t>No</t>
        </is>
      </c>
      <c r="N184" s="38" t="inlineStr">
        <is>
          <t>Bulk groceries</t>
        </is>
      </c>
      <c r="O184" s="40">
        <f>IF(AND($B184&gt;=CurMonthStart,$B184&lt;=CurMonthEnd),$K184,0)</f>
        <v/>
      </c>
    </row>
    <row r="185">
      <c r="A185" s="38">
        <f>ROW()-5</f>
        <v/>
      </c>
      <c r="B185" s="39" t="n">
        <v>46215</v>
      </c>
      <c r="C185" s="38" t="inlineStr">
        <is>
          <t>Shell Gas Station</t>
        </is>
      </c>
      <c r="D185" s="38">
        <f>IFERROR(INDEX(Dim_Vendor[VendorID],MATCH($C185,Dim_Vendor[VendorName],0)),"")</f>
        <v/>
      </c>
      <c r="E185" s="38" t="inlineStr">
        <is>
          <t>Car</t>
        </is>
      </c>
      <c r="F185" s="38">
        <f>IFERROR(INDEX(Dim_Category[CategoryID],MATCH($E185,Dim_Category[CategoryName],0)),"")</f>
        <v/>
      </c>
      <c r="G185" s="38" t="inlineStr">
        <is>
          <t>Credit Card</t>
        </is>
      </c>
      <c r="H185" s="38">
        <f>IFERROR(INDEX(Dim_Account[AccountID],MATCH($G185,Dim_Account[AccountName],0)),"")</f>
        <v/>
      </c>
      <c r="I185" s="38" t="inlineStr">
        <is>
          <t>Credit Card</t>
        </is>
      </c>
      <c r="J185" s="38">
        <f>IFERROR(INDEX(Dim_PaymentMethod[PaymentMethodID],MATCH($I185,Dim_PaymentMethod[MethodName],0)),"")</f>
        <v/>
      </c>
      <c r="K185" s="40" t="n">
        <v>53.04</v>
      </c>
      <c r="L185" s="38" t="inlineStr">
        <is>
          <t>Need</t>
        </is>
      </c>
      <c r="M185" s="38" t="inlineStr">
        <is>
          <t>No</t>
        </is>
      </c>
      <c r="N185" s="38" t="inlineStr">
        <is>
          <t>Gas</t>
        </is>
      </c>
      <c r="O185" s="40">
        <f>IF(AND($B185&gt;=CurMonthStart,$B185&lt;=CurMonthEnd),$K185,0)</f>
        <v/>
      </c>
    </row>
    <row r="186">
      <c r="A186" s="38">
        <f>ROW()-5</f>
        <v/>
      </c>
      <c r="B186" s="39" t="n">
        <v>46218</v>
      </c>
      <c r="C186" s="38" t="inlineStr">
        <is>
          <t>AutoZone</t>
        </is>
      </c>
      <c r="D186" s="38">
        <f>IFERROR(INDEX(Dim_Vendor[VendorID],MATCH($C186,Dim_Vendor[VendorName],0)),"")</f>
        <v/>
      </c>
      <c r="E186" s="38" t="inlineStr">
        <is>
          <t>Car</t>
        </is>
      </c>
      <c r="F186" s="38">
        <f>IFERROR(INDEX(Dim_Category[CategoryID],MATCH($E186,Dim_Category[CategoryName],0)),"")</f>
        <v/>
      </c>
      <c r="G186" s="38" t="inlineStr">
        <is>
          <t>Credit Card</t>
        </is>
      </c>
      <c r="H186" s="38">
        <f>IFERROR(INDEX(Dim_Account[AccountID],MATCH($G186,Dim_Account[AccountName],0)),"")</f>
        <v/>
      </c>
      <c r="I186" s="38" t="inlineStr">
        <is>
          <t>Credit Card</t>
        </is>
      </c>
      <c r="J186" s="38">
        <f>IFERROR(INDEX(Dim_PaymentMethod[PaymentMethodID],MATCH($I186,Dim_PaymentMethod[MethodName],0)),"")</f>
        <v/>
      </c>
      <c r="K186" s="40" t="n">
        <v>37.08</v>
      </c>
      <c r="L186" s="38" t="inlineStr">
        <is>
          <t>Need</t>
        </is>
      </c>
      <c r="M186" s="38" t="inlineStr">
        <is>
          <t>No</t>
        </is>
      </c>
      <c r="N186" s="38" t="inlineStr">
        <is>
          <t>Wiper blades / oil</t>
        </is>
      </c>
      <c r="O186" s="40">
        <f>IF(AND($B186&gt;=CurMonthStart,$B186&lt;=CurMonthEnd),$K186,0)</f>
        <v/>
      </c>
    </row>
    <row r="187">
      <c r="A187" s="38">
        <f>ROW()-5</f>
        <v/>
      </c>
      <c r="B187" s="39" t="n">
        <v>46221</v>
      </c>
      <c r="C187" s="38" t="inlineStr">
        <is>
          <t>City Electric Co</t>
        </is>
      </c>
      <c r="D187" s="38">
        <f>IFERROR(INDEX(Dim_Vendor[VendorID],MATCH($C187,Dim_Vendor[VendorName],0)),"")</f>
        <v/>
      </c>
      <c r="E187" s="38" t="inlineStr">
        <is>
          <t>Utilities</t>
        </is>
      </c>
      <c r="F187" s="38">
        <f>IFERROR(INDEX(Dim_Category[CategoryID],MATCH($E187,Dim_Category[CategoryName],0)),"")</f>
        <v/>
      </c>
      <c r="G187" s="38" t="inlineStr">
        <is>
          <t>Checking</t>
        </is>
      </c>
      <c r="H187" s="38">
        <f>IFERROR(INDEX(Dim_Account[AccountID],MATCH($G187,Dim_Account[AccountName],0)),"")</f>
        <v/>
      </c>
      <c r="I187" s="38" t="inlineStr">
        <is>
          <t>ACH</t>
        </is>
      </c>
      <c r="J187" s="38">
        <f>IFERROR(INDEX(Dim_PaymentMethod[PaymentMethodID],MATCH($I187,Dim_PaymentMethod[MethodName],0)),"")</f>
        <v/>
      </c>
      <c r="K187" s="40" t="n">
        <v>122.84</v>
      </c>
      <c r="L187" s="38" t="inlineStr">
        <is>
          <t>Need</t>
        </is>
      </c>
      <c r="M187" s="38" t="inlineStr">
        <is>
          <t>Yes</t>
        </is>
      </c>
      <c r="N187" s="38" t="inlineStr"/>
      <c r="O187" s="40">
        <f>IF(AND($B187&gt;=CurMonthStart,$B187&lt;=CurMonthEnd),$K187,0)</f>
        <v/>
      </c>
    </row>
    <row r="188">
      <c r="A188" s="38">
        <f>ROW()-5</f>
        <v/>
      </c>
      <c r="B188" s="39" t="n">
        <v>46224</v>
      </c>
      <c r="C188" s="38" t="inlineStr">
        <is>
          <t>Comcast Xfinity</t>
        </is>
      </c>
      <c r="D188" s="38">
        <f>IFERROR(INDEX(Dim_Vendor[VendorID],MATCH($C188,Dim_Vendor[VendorName],0)),"")</f>
        <v/>
      </c>
      <c r="E188" s="38" t="inlineStr">
        <is>
          <t>Utilities</t>
        </is>
      </c>
      <c r="F188" s="38">
        <f>IFERROR(INDEX(Dim_Category[CategoryID],MATCH($E188,Dim_Category[CategoryName],0)),"")</f>
        <v/>
      </c>
      <c r="G188" s="38" t="inlineStr">
        <is>
          <t>Checking</t>
        </is>
      </c>
      <c r="H188" s="38">
        <f>IFERROR(INDEX(Dim_Account[AccountID],MATCH($G188,Dim_Account[AccountName],0)),"")</f>
        <v/>
      </c>
      <c r="I188" s="38" t="inlineStr">
        <is>
          <t>ACH</t>
        </is>
      </c>
      <c r="J188" s="38">
        <f>IFERROR(INDEX(Dim_PaymentMethod[PaymentMethodID],MATCH($I188,Dim_PaymentMethod[MethodName],0)),"")</f>
        <v/>
      </c>
      <c r="K188" s="40" t="n">
        <v>74.5</v>
      </c>
      <c r="L188" s="38" t="inlineStr">
        <is>
          <t>Need</t>
        </is>
      </c>
      <c r="M188" s="38" t="inlineStr">
        <is>
          <t>Yes</t>
        </is>
      </c>
      <c r="N188" s="38" t="inlineStr">
        <is>
          <t>Internet</t>
        </is>
      </c>
      <c r="O188" s="40">
        <f>IF(AND($B188&gt;=CurMonthStart,$B188&lt;=CurMonthEnd),$K188,0)</f>
        <v/>
      </c>
    </row>
    <row r="189">
      <c r="A189" s="38">
        <f>ROW()-5</f>
        <v/>
      </c>
      <c r="B189" s="39" t="n">
        <v>46227</v>
      </c>
      <c r="C189" s="38" t="inlineStr">
        <is>
          <t>Verizon Wireless</t>
        </is>
      </c>
      <c r="D189" s="38">
        <f>IFERROR(INDEX(Dim_Vendor[VendorID],MATCH($C189,Dim_Vendor[VendorName],0)),"")</f>
        <v/>
      </c>
      <c r="E189" s="38" t="inlineStr">
        <is>
          <t>Utilities</t>
        </is>
      </c>
      <c r="F189" s="38">
        <f>IFERROR(INDEX(Dim_Category[CategoryID],MATCH($E189,Dim_Category[CategoryName],0)),"")</f>
        <v/>
      </c>
      <c r="G189" s="38" t="inlineStr">
        <is>
          <t>Checking</t>
        </is>
      </c>
      <c r="H189" s="38">
        <f>IFERROR(INDEX(Dim_Account[AccountID],MATCH($G189,Dim_Account[AccountName],0)),"")</f>
        <v/>
      </c>
      <c r="I189" s="38" t="inlineStr">
        <is>
          <t>ACH</t>
        </is>
      </c>
      <c r="J189" s="38">
        <f>IFERROR(INDEX(Dim_PaymentMethod[PaymentMethodID],MATCH($I189,Dim_PaymentMethod[MethodName],0)),"")</f>
        <v/>
      </c>
      <c r="K189" s="40" t="n">
        <v>96.98999999999999</v>
      </c>
      <c r="L189" s="38" t="inlineStr">
        <is>
          <t>Need</t>
        </is>
      </c>
      <c r="M189" s="38" t="inlineStr">
        <is>
          <t>Yes</t>
        </is>
      </c>
      <c r="N189" s="38" t="inlineStr">
        <is>
          <t>Mobile phone</t>
        </is>
      </c>
      <c r="O189" s="40">
        <f>IF(AND($B189&gt;=CurMonthStart,$B189&lt;=CurMonthEnd),$K189,0)</f>
        <v/>
      </c>
    </row>
    <row r="190">
      <c r="A190" s="38">
        <f>ROW()-5</f>
        <v/>
      </c>
      <c r="B190" s="39" t="n">
        <v>46230</v>
      </c>
      <c r="C190" s="38" t="inlineStr">
        <is>
          <t>State Farm Insurance</t>
        </is>
      </c>
      <c r="D190" s="38">
        <f>IFERROR(INDEX(Dim_Vendor[VendorID],MATCH($C190,Dim_Vendor[VendorName],0)),"")</f>
        <v/>
      </c>
      <c r="E190" s="38" t="inlineStr">
        <is>
          <t>Insurance</t>
        </is>
      </c>
      <c r="F190" s="38">
        <f>IFERROR(INDEX(Dim_Category[CategoryID],MATCH($E190,Dim_Category[CategoryName],0)),"")</f>
        <v/>
      </c>
      <c r="G190" s="38" t="inlineStr">
        <is>
          <t>Checking</t>
        </is>
      </c>
      <c r="H190" s="38">
        <f>IFERROR(INDEX(Dim_Account[AccountID],MATCH($G190,Dim_Account[AccountName],0)),"")</f>
        <v/>
      </c>
      <c r="I190" s="38" t="inlineStr">
        <is>
          <t>ACH</t>
        </is>
      </c>
      <c r="J190" s="38">
        <f>IFERROR(INDEX(Dim_PaymentMethod[PaymentMethodID],MATCH($I190,Dim_PaymentMethod[MethodName],0)),"")</f>
        <v/>
      </c>
      <c r="K190" s="40" t="n">
        <v>135.84</v>
      </c>
      <c r="L190" s="38" t="inlineStr">
        <is>
          <t>Need</t>
        </is>
      </c>
      <c r="M190" s="38" t="inlineStr">
        <is>
          <t>Yes</t>
        </is>
      </c>
      <c r="N190" s="38" t="inlineStr">
        <is>
          <t>Auto + home insurance</t>
        </is>
      </c>
      <c r="O190" s="40">
        <f>IF(AND($B190&gt;=CurMonthStart,$B190&lt;=CurMonthEnd),$K190,0)</f>
        <v/>
      </c>
    </row>
    <row r="191">
      <c r="A191" s="38">
        <f>ROW()-5</f>
        <v/>
      </c>
      <c r="B191" s="39" t="n">
        <v>46206</v>
      </c>
      <c r="C191" s="38" t="inlineStr">
        <is>
          <t>Kaiser Permanente</t>
        </is>
      </c>
      <c r="D191" s="38">
        <f>IFERROR(INDEX(Dim_Vendor[VendorID],MATCH($C191,Dim_Vendor[VendorName],0)),"")</f>
        <v/>
      </c>
      <c r="E191" s="38" t="inlineStr">
        <is>
          <t>Healthcare</t>
        </is>
      </c>
      <c r="F191" s="38">
        <f>IFERROR(INDEX(Dim_Category[CategoryID],MATCH($E191,Dim_Category[CategoryName],0)),"")</f>
        <v/>
      </c>
      <c r="G191" s="38" t="inlineStr">
        <is>
          <t>Credit Card</t>
        </is>
      </c>
      <c r="H191" s="38">
        <f>IFERROR(INDEX(Dim_Account[AccountID],MATCH($G191,Dim_Account[AccountName],0)),"")</f>
        <v/>
      </c>
      <c r="I191" s="38" t="inlineStr">
        <is>
          <t>Credit Card</t>
        </is>
      </c>
      <c r="J191" s="38">
        <f>IFERROR(INDEX(Dim_PaymentMethod[PaymentMethodID],MATCH($I191,Dim_PaymentMethod[MethodName],0)),"")</f>
        <v/>
      </c>
      <c r="K191" s="40" t="n">
        <v>47.92</v>
      </c>
      <c r="L191" s="38" t="inlineStr">
        <is>
          <t>Need</t>
        </is>
      </c>
      <c r="M191" s="38" t="inlineStr">
        <is>
          <t>No</t>
        </is>
      </c>
      <c r="N191" s="38" t="inlineStr">
        <is>
          <t>Copay</t>
        </is>
      </c>
      <c r="O191" s="40">
        <f>IF(AND($B191&gt;=CurMonthStart,$B191&lt;=CurMonthEnd),$K191,0)</f>
        <v/>
      </c>
    </row>
    <row r="192">
      <c r="A192" s="38">
        <f>ROW()-5</f>
        <v/>
      </c>
      <c r="B192" s="39" t="n">
        <v>46209</v>
      </c>
      <c r="C192" s="38" t="inlineStr">
        <is>
          <t>Chipotle</t>
        </is>
      </c>
      <c r="D192" s="38">
        <f>IFERROR(INDEX(Dim_Vendor[VendorID],MATCH($C192,Dim_Vendor[VendorName],0)),"")</f>
        <v/>
      </c>
      <c r="E192" s="38" t="inlineStr">
        <is>
          <t>Dining &amp; Entertainment</t>
        </is>
      </c>
      <c r="F192" s="38">
        <f>IFERROR(INDEX(Dim_Category[CategoryID],MATCH($E192,Dim_Category[CategoryName],0)),"")</f>
        <v/>
      </c>
      <c r="G192" s="38" t="inlineStr">
        <is>
          <t>Credit Card</t>
        </is>
      </c>
      <c r="H192" s="38">
        <f>IFERROR(INDEX(Dim_Account[AccountID],MATCH($G192,Dim_Account[AccountName],0)),"")</f>
        <v/>
      </c>
      <c r="I192" s="38" t="inlineStr">
        <is>
          <t>Credit Card</t>
        </is>
      </c>
      <c r="J192" s="38">
        <f>IFERROR(INDEX(Dim_PaymentMethod[PaymentMethodID],MATCH($I192,Dim_PaymentMethod[MethodName],0)),"")</f>
        <v/>
      </c>
      <c r="K192" s="40" t="n">
        <v>14.25</v>
      </c>
      <c r="L192" s="38" t="inlineStr">
        <is>
          <t>Want</t>
        </is>
      </c>
      <c r="M192" s="38" t="inlineStr">
        <is>
          <t>No</t>
        </is>
      </c>
      <c r="N192" s="38" t="inlineStr"/>
      <c r="O192" s="40">
        <f>IF(AND($B192&gt;=CurMonthStart,$B192&lt;=CurMonthEnd),$K192,0)</f>
        <v/>
      </c>
    </row>
    <row r="193">
      <c r="A193" s="38">
        <f>ROW()-5</f>
        <v/>
      </c>
      <c r="B193" s="39" t="n">
        <v>46212</v>
      </c>
      <c r="C193" s="38" t="inlineStr">
        <is>
          <t>Netflix</t>
        </is>
      </c>
      <c r="D193" s="38">
        <f>IFERROR(INDEX(Dim_Vendor[VendorID],MATCH($C193,Dim_Vendor[VendorName],0)),"")</f>
        <v/>
      </c>
      <c r="E193" s="38" t="inlineStr">
        <is>
          <t>Dining &amp; Entertainment</t>
        </is>
      </c>
      <c r="F193" s="38">
        <f>IFERROR(INDEX(Dim_Category[CategoryID],MATCH($E193,Dim_Category[CategoryName],0)),"")</f>
        <v/>
      </c>
      <c r="G193" s="38" t="inlineStr">
        <is>
          <t>Credit Card</t>
        </is>
      </c>
      <c r="H193" s="38">
        <f>IFERROR(INDEX(Dim_Account[AccountID],MATCH($G193,Dim_Account[AccountName],0)),"")</f>
        <v/>
      </c>
      <c r="I193" s="38" t="inlineStr">
        <is>
          <t>Credit Card</t>
        </is>
      </c>
      <c r="J193" s="38">
        <f>IFERROR(INDEX(Dim_PaymentMethod[PaymentMethodID],MATCH($I193,Dim_PaymentMethod[MethodName],0)),"")</f>
        <v/>
      </c>
      <c r="K193" s="40" t="n">
        <v>15.49</v>
      </c>
      <c r="L193" s="38" t="inlineStr">
        <is>
          <t>Want</t>
        </is>
      </c>
      <c r="M193" s="38" t="inlineStr">
        <is>
          <t>Yes</t>
        </is>
      </c>
      <c r="N193" s="38" t="inlineStr">
        <is>
          <t>Streaming subscription</t>
        </is>
      </c>
      <c r="O193" s="40">
        <f>IF(AND($B193&gt;=CurMonthStart,$B193&lt;=CurMonthEnd),$K193,0)</f>
        <v/>
      </c>
    </row>
    <row r="194">
      <c r="A194" s="38">
        <f>ROW()-5</f>
        <v/>
      </c>
      <c r="B194" s="39" t="n">
        <v>46215</v>
      </c>
      <c r="C194" s="38" t="inlineStr">
        <is>
          <t>AMC Theatres</t>
        </is>
      </c>
      <c r="D194" s="38">
        <f>IFERROR(INDEX(Dim_Vendor[VendorID],MATCH($C194,Dim_Vendor[VendorName],0)),"")</f>
        <v/>
      </c>
      <c r="E194" s="38" t="inlineStr">
        <is>
          <t>Dining &amp; Entertainment</t>
        </is>
      </c>
      <c r="F194" s="38">
        <f>IFERROR(INDEX(Dim_Category[CategoryID],MATCH($E194,Dim_Category[CategoryName],0)),"")</f>
        <v/>
      </c>
      <c r="G194" s="38" t="inlineStr">
        <is>
          <t>Credit Card</t>
        </is>
      </c>
      <c r="H194" s="38">
        <f>IFERROR(INDEX(Dim_Account[AccountID],MATCH($G194,Dim_Account[AccountName],0)),"")</f>
        <v/>
      </c>
      <c r="I194" s="38" t="inlineStr">
        <is>
          <t>Credit Card</t>
        </is>
      </c>
      <c r="J194" s="38">
        <f>IFERROR(INDEX(Dim_PaymentMethod[PaymentMethodID],MATCH($I194,Dim_PaymentMethod[MethodName],0)),"")</f>
        <v/>
      </c>
      <c r="K194" s="40" t="n">
        <v>33.84</v>
      </c>
      <c r="L194" s="38" t="inlineStr">
        <is>
          <t>Want</t>
        </is>
      </c>
      <c r="M194" s="38" t="inlineStr">
        <is>
          <t>No</t>
        </is>
      </c>
      <c r="N194" s="38" t="inlineStr"/>
      <c r="O194" s="40">
        <f>IF(AND($B194&gt;=CurMonthStart,$B194&lt;=CurMonthEnd),$K194,0)</f>
        <v/>
      </c>
    </row>
    <row r="195">
      <c r="A195" s="38">
        <f>ROW()-5</f>
        <v/>
      </c>
      <c r="B195" s="39" t="n">
        <v>46218</v>
      </c>
      <c r="C195" s="38" t="inlineStr">
        <is>
          <t>Planet Fitness</t>
        </is>
      </c>
      <c r="D195" s="38">
        <f>IFERROR(INDEX(Dim_Vendor[VendorID],MATCH($C195,Dim_Vendor[VendorName],0)),"")</f>
        <v/>
      </c>
      <c r="E195" s="38" t="inlineStr">
        <is>
          <t>Personal Care</t>
        </is>
      </c>
      <c r="F195" s="38">
        <f>IFERROR(INDEX(Dim_Category[CategoryID],MATCH($E195,Dim_Category[CategoryName],0)),"")</f>
        <v/>
      </c>
      <c r="G195" s="38" t="inlineStr">
        <is>
          <t>Checking</t>
        </is>
      </c>
      <c r="H195" s="38">
        <f>IFERROR(INDEX(Dim_Account[AccountID],MATCH($G195,Dim_Account[AccountName],0)),"")</f>
        <v/>
      </c>
      <c r="I195" s="38" t="inlineStr">
        <is>
          <t>ACH</t>
        </is>
      </c>
      <c r="J195" s="38">
        <f>IFERROR(INDEX(Dim_PaymentMethod[PaymentMethodID],MATCH($I195,Dim_PaymentMethod[MethodName],0)),"")</f>
        <v/>
      </c>
      <c r="K195" s="40" t="n">
        <v>23.27</v>
      </c>
      <c r="L195" s="38" t="inlineStr">
        <is>
          <t>Want</t>
        </is>
      </c>
      <c r="M195" s="38" t="inlineStr">
        <is>
          <t>Yes</t>
        </is>
      </c>
      <c r="N195" s="38" t="inlineStr">
        <is>
          <t>Gym membership</t>
        </is>
      </c>
      <c r="O195" s="40">
        <f>IF(AND($B195&gt;=CurMonthStart,$B195&lt;=CurMonthEnd),$K195,0)</f>
        <v/>
      </c>
    </row>
    <row r="196">
      <c r="A196" s="38">
        <f>ROW()-5</f>
        <v/>
      </c>
      <c r="B196" s="39" t="n">
        <v>46221</v>
      </c>
      <c r="C196" s="38" t="inlineStr">
        <is>
          <t>Amazon</t>
        </is>
      </c>
      <c r="D196" s="38">
        <f>IFERROR(INDEX(Dim_Vendor[VendorID],MATCH($C196,Dim_Vendor[VendorName],0)),"")</f>
        <v/>
      </c>
      <c r="E196" s="38" t="inlineStr">
        <is>
          <t>Shopping</t>
        </is>
      </c>
      <c r="F196" s="38">
        <f>IFERROR(INDEX(Dim_Category[CategoryID],MATCH($E196,Dim_Category[CategoryName],0)),"")</f>
        <v/>
      </c>
      <c r="G196" s="38" t="inlineStr">
        <is>
          <t>Credit Card</t>
        </is>
      </c>
      <c r="H196" s="38">
        <f>IFERROR(INDEX(Dim_Account[AccountID],MATCH($G196,Dim_Account[AccountName],0)),"")</f>
        <v/>
      </c>
      <c r="I196" s="38" t="inlineStr">
        <is>
          <t>Credit Card</t>
        </is>
      </c>
      <c r="J196" s="38">
        <f>IFERROR(INDEX(Dim_PaymentMethod[PaymentMethodID],MATCH($I196,Dim_PaymentMethod[MethodName],0)),"")</f>
        <v/>
      </c>
      <c r="K196" s="40" t="n">
        <v>65.59999999999999</v>
      </c>
      <c r="L196" s="38" t="inlineStr">
        <is>
          <t>Want</t>
        </is>
      </c>
      <c r="M196" s="38" t="inlineStr">
        <is>
          <t>No</t>
        </is>
      </c>
      <c r="N196" s="38" t="inlineStr"/>
      <c r="O196" s="40">
        <f>IF(AND($B196&gt;=CurMonthStart,$B196&lt;=CurMonthEnd),$K196,0)</f>
        <v/>
      </c>
    </row>
    <row r="197">
      <c r="A197" s="38">
        <f>ROW()-5</f>
        <v/>
      </c>
      <c r="B197" s="39" t="n">
        <v>46224</v>
      </c>
      <c r="C197" s="38" t="inlineStr">
        <is>
          <t>Target</t>
        </is>
      </c>
      <c r="D197" s="38">
        <f>IFERROR(INDEX(Dim_Vendor[VendorID],MATCH($C197,Dim_Vendor[VendorName],0)),"")</f>
        <v/>
      </c>
      <c r="E197" s="38" t="inlineStr">
        <is>
          <t>Shopping</t>
        </is>
      </c>
      <c r="F197" s="38">
        <f>IFERROR(INDEX(Dim_Category[CategoryID],MATCH($E197,Dim_Category[CategoryName],0)),"")</f>
        <v/>
      </c>
      <c r="G197" s="38" t="inlineStr">
        <is>
          <t>Credit Card</t>
        </is>
      </c>
      <c r="H197" s="38">
        <f>IFERROR(INDEX(Dim_Account[AccountID],MATCH($G197,Dim_Account[AccountName],0)),"")</f>
        <v/>
      </c>
      <c r="I197" s="38" t="inlineStr">
        <is>
          <t>Credit Card</t>
        </is>
      </c>
      <c r="J197" s="38">
        <f>IFERROR(INDEX(Dim_PaymentMethod[PaymentMethodID],MATCH($I197,Dim_PaymentMethod[MethodName],0)),"")</f>
        <v/>
      </c>
      <c r="K197" s="40" t="n">
        <v>55.79</v>
      </c>
      <c r="L197" s="38" t="inlineStr">
        <is>
          <t>Want</t>
        </is>
      </c>
      <c r="M197" s="38" t="inlineStr">
        <is>
          <t>No</t>
        </is>
      </c>
      <c r="N197" s="38" t="inlineStr"/>
      <c r="O197" s="40">
        <f>IF(AND($B197&gt;=CurMonthStart,$B197&lt;=CurMonthEnd),$K197,0)</f>
        <v/>
      </c>
    </row>
  </sheetData>
  <mergeCells count="2">
    <mergeCell ref="A1:N2"/>
    <mergeCell ref="A4:P4"/>
  </mergeCells>
  <conditionalFormatting sqref="K6:K197">
    <cfRule type="cellIs" priority="1" operator="greaterThan" dxfId="5">
      <formula>200</formula>
    </cfRule>
  </conditionalFormatting>
  <dataValidations count="6">
    <dataValidation sqref="C6:C497" showDropDown="0" showInputMessage="0" showErrorMessage="1" allowBlank="1" errorTitle="Invalid Entry" error="Please choose a value from the dropdown list." type="list">
      <formula1>=VendorNameList</formula1>
    </dataValidation>
    <dataValidation sqref="E6:E497" showDropDown="0" showInputMessage="0" showErrorMessage="1" allowBlank="1" errorTitle="Invalid Entry" error="Please choose a value from the dropdown list." type="list">
      <formula1>=ExpenseCategoryList</formula1>
    </dataValidation>
    <dataValidation sqref="G6:G497" showDropDown="0" showInputMessage="0" showErrorMessage="1" allowBlank="1" errorTitle="Invalid Entry" error="Please choose a value from the dropdown list." type="list">
      <formula1>=AccountNameList</formula1>
    </dataValidation>
    <dataValidation sqref="I6:I497" showDropDown="0" showInputMessage="0" showErrorMessage="1" allowBlank="1" errorTitle="Invalid Entry" error="Please choose a value from the dropdown list." type="list">
      <formula1>=PaymentMethodList</formula1>
    </dataValidation>
    <dataValidation sqref="L6:L497" showDropDown="0" showInputMessage="0" showErrorMessage="1" allowBlank="1" errorTitle="Invalid Entry" error="Please choose a value from the dropdown list." type="list">
      <formula1>=List_NeedWant</formula1>
    </dataValidation>
    <dataValidation sqref="M6:M497" showDropDown="0" showInputMessage="0" showErrorMessage="1" allowBlank="1" errorTitle="Invalid Entry" error="Please choose a value from the dropdown list.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40" t="n">
        <v>25000</v>
      </c>
      <c r="D11" s="39" t="n">
        <v>46387</v>
      </c>
      <c r="E11" s="38" t="inlineStr">
        <is>
          <t>High</t>
        </is>
      </c>
      <c r="F11" s="40">
        <f>SUMIFS(Fact_SavingsTransfers[Amount],Fact_SavingsTransfers[GoalName],$B11)</f>
        <v/>
      </c>
      <c r="G11" s="40">
        <f>MAX($C11-$F11,0)</f>
        <v/>
      </c>
      <c r="H11" s="41">
        <f>MIN($F11/$C11,1)</f>
        <v/>
      </c>
      <c r="I11" s="40">
        <f>IFERROR($F11/MAX(COUNTIFS(Fact_SavingsTransfers[GoalName],$B11),1),0)</f>
        <v/>
      </c>
      <c r="J11" s="39">
        <f>IF($I11&gt;0,TodayDate+($G11/$I11)*30,"N/A")</f>
        <v/>
      </c>
    </row>
    <row r="12">
      <c r="A12" s="38" t="n">
        <v>2</v>
      </c>
      <c r="B12" s="38" t="inlineStr">
        <is>
          <t>Vacation</t>
        </is>
      </c>
      <c r="C12" s="40" t="n">
        <v>6000</v>
      </c>
      <c r="D12" s="39" t="n">
        <v>46539</v>
      </c>
      <c r="E12" s="38" t="inlineStr">
        <is>
          <t>Medium</t>
        </is>
      </c>
      <c r="F12" s="40">
        <f>SUMIFS(Fact_SavingsTransfers[Amount],Fact_SavingsTransfers[GoalName],$B12)</f>
        <v/>
      </c>
      <c r="G12" s="40">
        <f>MAX($C12-$F12,0)</f>
        <v/>
      </c>
      <c r="H12" s="41">
        <f>MIN($F12/$C12,1)</f>
        <v/>
      </c>
      <c r="I12" s="40">
        <f>IFERROR($F12/MAX(COUNTIFS(Fact_SavingsTransfers[GoalName],$B12),1),0)</f>
        <v/>
      </c>
      <c r="J12" s="39">
        <f>IF($I12&gt;0,TodayDate+($G12/$I12)*30,"N/A")</f>
        <v/>
      </c>
    </row>
    <row r="13">
      <c r="A13" s="38" t="n">
        <v>3</v>
      </c>
      <c r="B13" s="38" t="inlineStr">
        <is>
          <t>New Car</t>
        </is>
      </c>
      <c r="C13" s="40" t="n">
        <v>12000</v>
      </c>
      <c r="D13" s="39" t="n">
        <v>46752</v>
      </c>
      <c r="E13" s="38" t="inlineStr">
        <is>
          <t>Medium</t>
        </is>
      </c>
      <c r="F13" s="40">
        <f>SUMIFS(Fact_SavingsTransfers[Amount],Fact_SavingsTransfers[GoalName],$B13)</f>
        <v/>
      </c>
      <c r="G13" s="40">
        <f>MAX($C13-$F13,0)</f>
        <v/>
      </c>
      <c r="H13" s="41">
        <f>MIN($F13/$C13,1)</f>
        <v/>
      </c>
      <c r="I13" s="40">
        <f>IFERROR($F13/MAX(COUNTIFS(Fact_SavingsTransfers[GoalName],$B13),1),0)</f>
        <v/>
      </c>
      <c r="J13" s="39">
        <f>IF($I13&gt;0,TodayDate+($G13/$I13)*30,"N/A")</f>
        <v/>
      </c>
    </row>
    <row r="16" ht="20" customHeight="1">
      <c r="A16" s="26" t="inlineStr">
        <is>
          <t>Fact_SavingsTransfers  —  log every deposit toward a goal</t>
        </is>
      </c>
      <c r="B16" s="2" t="n"/>
      <c r="C16" s="2" t="n"/>
      <c r="D16" s="2" t="n"/>
      <c r="E16" s="2" t="n"/>
      <c r="F16" s="2" t="n"/>
    </row>
    <row r="17">
      <c r="A17" s="36" t="inlineStr">
        <is>
          <t>TransferID</t>
        </is>
      </c>
      <c r="B17" s="36" t="inlineStr">
        <is>
          <t>Date</t>
        </is>
      </c>
      <c r="C17" s="36" t="inlineStr">
        <is>
          <t>GoalName</t>
        </is>
      </c>
      <c r="D17" s="36" t="inlineStr">
        <is>
          <t>GoalID</t>
        </is>
      </c>
      <c r="E17" s="36" t="inlineStr">
        <is>
          <t>AccountName</t>
        </is>
      </c>
      <c r="F17" s="36" t="inlineStr">
        <is>
          <t>AccountID</t>
        </is>
      </c>
      <c r="G17" s="36" t="inlineStr">
        <is>
          <t>Amount</t>
        </is>
      </c>
    </row>
    <row r="18">
      <c r="A18" s="38">
        <f>ROW()-17</f>
        <v/>
      </c>
      <c r="B18" s="39" t="n">
        <v>45872</v>
      </c>
      <c r="C18" s="38" t="inlineStr">
        <is>
          <t>Emergency Fund</t>
        </is>
      </c>
      <c r="D18" s="38">
        <f>IFERROR(INDEX(Dim_Goal[GoalID],MATCH($C18,Dim_Goal[GoalName],0)),"")</f>
        <v/>
      </c>
      <c r="E18" s="38" t="inlineStr">
        <is>
          <t>Savings</t>
        </is>
      </c>
      <c r="F18" s="38">
        <f>IFERROR(INDEX(Dim_Account[AccountID],MATCH($E18,Dim_Account[AccountName],0)),"")</f>
        <v/>
      </c>
      <c r="G18" s="40" t="n">
        <v>500</v>
      </c>
    </row>
    <row r="19">
      <c r="A19" s="38">
        <f>ROW()-17</f>
        <v/>
      </c>
      <c r="B19" s="39" t="n">
        <v>45903</v>
      </c>
      <c r="C19" s="38" t="inlineStr">
        <is>
          <t>Emergency Fund</t>
        </is>
      </c>
      <c r="D19" s="38">
        <f>IFERROR(INDEX(Dim_Goal[GoalID],MATCH($C19,Dim_Goal[GoalName],0)),"")</f>
        <v/>
      </c>
      <c r="E19" s="38" t="inlineStr">
        <is>
          <t>Savings</t>
        </is>
      </c>
      <c r="F19" s="38">
        <f>IFERROR(INDEX(Dim_Account[AccountID],MATCH($E19,Dim_Account[AccountName],0)),"")</f>
        <v/>
      </c>
      <c r="G19" s="40" t="n">
        <v>500</v>
      </c>
    </row>
    <row r="20">
      <c r="A20" s="38">
        <f>ROW()-17</f>
        <v/>
      </c>
      <c r="B20" s="39" t="n">
        <v>45917</v>
      </c>
      <c r="C20" s="38" t="inlineStr">
        <is>
          <t>Vacation</t>
        </is>
      </c>
      <c r="D20" s="38">
        <f>IFERROR(INDEX(Dim_Goal[GoalID],MATCH($C20,Dim_Goal[GoalName],0)),"")</f>
        <v/>
      </c>
      <c r="E20" s="38" t="inlineStr">
        <is>
          <t>Savings</t>
        </is>
      </c>
      <c r="F20" s="38">
        <f>IFERROR(INDEX(Dim_Account[AccountID],MATCH($E20,Dim_Account[AccountName],0)),"")</f>
        <v/>
      </c>
      <c r="G20" s="40" t="n">
        <v>150</v>
      </c>
    </row>
    <row r="21">
      <c r="A21" s="38">
        <f>ROW()-17</f>
        <v/>
      </c>
      <c r="B21" s="39" t="n">
        <v>45933</v>
      </c>
      <c r="C21" s="38" t="inlineStr">
        <is>
          <t>Emergency Fund</t>
        </is>
      </c>
      <c r="D21" s="38">
        <f>IFERROR(INDEX(Dim_Goal[GoalID],MATCH($C21,Dim_Goal[GoalName],0)),"")</f>
        <v/>
      </c>
      <c r="E21" s="38" t="inlineStr">
        <is>
          <t>Savings</t>
        </is>
      </c>
      <c r="F21" s="38">
        <f>IFERROR(INDEX(Dim_Account[AccountID],MATCH($E21,Dim_Account[AccountName],0)),"")</f>
        <v/>
      </c>
      <c r="G21" s="40" t="n">
        <v>500</v>
      </c>
    </row>
    <row r="22">
      <c r="A22" s="38">
        <f>ROW()-17</f>
        <v/>
      </c>
      <c r="B22" s="39" t="n">
        <v>45950</v>
      </c>
      <c r="C22" s="38" t="inlineStr">
        <is>
          <t>New Car</t>
        </is>
      </c>
      <c r="D22" s="38">
        <f>IFERROR(INDEX(Dim_Goal[GoalID],MATCH($C22,Dim_Goal[GoalName],0)),"")</f>
        <v/>
      </c>
      <c r="E22" s="38" t="inlineStr">
        <is>
          <t>Savings</t>
        </is>
      </c>
      <c r="F22" s="38">
        <f>IFERROR(INDEX(Dim_Account[AccountID],MATCH($E22,Dim_Account[AccountName],0)),"")</f>
        <v/>
      </c>
      <c r="G22" s="40" t="n">
        <v>200</v>
      </c>
    </row>
    <row r="23">
      <c r="A23" s="38">
        <f>ROW()-17</f>
        <v/>
      </c>
      <c r="B23" s="39" t="n">
        <v>45964</v>
      </c>
      <c r="C23" s="38" t="inlineStr">
        <is>
          <t>Emergency Fund</t>
        </is>
      </c>
      <c r="D23" s="38">
        <f>IFERROR(INDEX(Dim_Goal[GoalID],MATCH($C23,Dim_Goal[GoalName],0)),"")</f>
        <v/>
      </c>
      <c r="E23" s="38" t="inlineStr">
        <is>
          <t>Savings</t>
        </is>
      </c>
      <c r="F23" s="38">
        <f>IFERROR(INDEX(Dim_Account[AccountID],MATCH($E23,Dim_Account[AccountName],0)),"")</f>
        <v/>
      </c>
      <c r="G23" s="40" t="n">
        <v>500</v>
      </c>
    </row>
    <row r="24">
      <c r="A24" s="38">
        <f>ROW()-17</f>
        <v/>
      </c>
      <c r="B24" s="39" t="n">
        <v>45978</v>
      </c>
      <c r="C24" s="38" t="inlineStr">
        <is>
          <t>Vacation</t>
        </is>
      </c>
      <c r="D24" s="38">
        <f>IFERROR(INDEX(Dim_Goal[GoalID],MATCH($C24,Dim_Goal[GoalName],0)),"")</f>
        <v/>
      </c>
      <c r="E24" s="38" t="inlineStr">
        <is>
          <t>Savings</t>
        </is>
      </c>
      <c r="F24" s="38">
        <f>IFERROR(INDEX(Dim_Account[AccountID],MATCH($E24,Dim_Account[AccountName],0)),"")</f>
        <v/>
      </c>
      <c r="G24" s="40" t="n">
        <v>150</v>
      </c>
    </row>
    <row r="25">
      <c r="A25" s="38">
        <f>ROW()-17</f>
        <v/>
      </c>
      <c r="B25" s="39" t="n">
        <v>45994</v>
      </c>
      <c r="C25" s="38" t="inlineStr">
        <is>
          <t>Emergency Fund</t>
        </is>
      </c>
      <c r="D25" s="38">
        <f>IFERROR(INDEX(Dim_Goal[GoalID],MATCH($C25,Dim_Goal[GoalName],0)),"")</f>
        <v/>
      </c>
      <c r="E25" s="38" t="inlineStr">
        <is>
          <t>Savings</t>
        </is>
      </c>
      <c r="F25" s="38">
        <f>IFERROR(INDEX(Dim_Account[AccountID],MATCH($E25,Dim_Account[AccountName],0)),"")</f>
        <v/>
      </c>
      <c r="G25" s="40" t="n">
        <v>500</v>
      </c>
    </row>
    <row r="26">
      <c r="A26" s="38">
        <f>ROW()-17</f>
        <v/>
      </c>
      <c r="B26" s="39" t="n">
        <v>46025</v>
      </c>
      <c r="C26" s="38" t="inlineStr">
        <is>
          <t>Emergency Fund</t>
        </is>
      </c>
      <c r="D26" s="38">
        <f>IFERROR(INDEX(Dim_Goal[GoalID],MATCH($C26,Dim_Goal[GoalName],0)),"")</f>
        <v/>
      </c>
      <c r="E26" s="38" t="inlineStr">
        <is>
          <t>Savings</t>
        </is>
      </c>
      <c r="F26" s="38">
        <f>IFERROR(INDEX(Dim_Account[AccountID],MATCH($E26,Dim_Account[AccountName],0)),"")</f>
        <v/>
      </c>
      <c r="G26" s="40" t="n">
        <v>500</v>
      </c>
    </row>
    <row r="27">
      <c r="A27" s="38">
        <f>ROW()-17</f>
        <v/>
      </c>
      <c r="B27" s="39" t="n">
        <v>46039</v>
      </c>
      <c r="C27" s="38" t="inlineStr">
        <is>
          <t>Vacation</t>
        </is>
      </c>
      <c r="D27" s="38">
        <f>IFERROR(INDEX(Dim_Goal[GoalID],MATCH($C27,Dim_Goal[GoalName],0)),"")</f>
        <v/>
      </c>
      <c r="E27" s="38" t="inlineStr">
        <is>
          <t>Savings</t>
        </is>
      </c>
      <c r="F27" s="38">
        <f>IFERROR(INDEX(Dim_Account[AccountID],MATCH($E27,Dim_Account[AccountName],0)),"")</f>
        <v/>
      </c>
      <c r="G27" s="40" t="n">
        <v>150</v>
      </c>
    </row>
    <row r="28">
      <c r="A28" s="38">
        <f>ROW()-17</f>
        <v/>
      </c>
      <c r="B28" s="39" t="n">
        <v>46042</v>
      </c>
      <c r="C28" s="38" t="inlineStr">
        <is>
          <t>New Car</t>
        </is>
      </c>
      <c r="D28" s="38">
        <f>IFERROR(INDEX(Dim_Goal[GoalID],MATCH($C28,Dim_Goal[GoalName],0)),"")</f>
        <v/>
      </c>
      <c r="E28" s="38" t="inlineStr">
        <is>
          <t>Savings</t>
        </is>
      </c>
      <c r="F28" s="38">
        <f>IFERROR(INDEX(Dim_Account[AccountID],MATCH($E28,Dim_Account[AccountName],0)),"")</f>
        <v/>
      </c>
      <c r="G28" s="40" t="n">
        <v>200</v>
      </c>
    </row>
    <row r="29">
      <c r="A29" s="38">
        <f>ROW()-17</f>
        <v/>
      </c>
      <c r="B29" s="39" t="n">
        <v>46056</v>
      </c>
      <c r="C29" s="38" t="inlineStr">
        <is>
          <t>Emergency Fund</t>
        </is>
      </c>
      <c r="D29" s="38">
        <f>IFERROR(INDEX(Dim_Goal[GoalID],MATCH($C29,Dim_Goal[GoalName],0)),"")</f>
        <v/>
      </c>
      <c r="E29" s="38" t="inlineStr">
        <is>
          <t>Savings</t>
        </is>
      </c>
      <c r="F29" s="38">
        <f>IFERROR(INDEX(Dim_Account[AccountID],MATCH($E29,Dim_Account[AccountName],0)),"")</f>
        <v/>
      </c>
      <c r="G29" s="40" t="n">
        <v>500</v>
      </c>
    </row>
    <row r="30">
      <c r="A30" s="38">
        <f>ROW()-17</f>
        <v/>
      </c>
      <c r="B30" s="39" t="n">
        <v>46084</v>
      </c>
      <c r="C30" s="38" t="inlineStr">
        <is>
          <t>Emergency Fund</t>
        </is>
      </c>
      <c r="D30" s="38">
        <f>IFERROR(INDEX(Dim_Goal[GoalID],MATCH($C30,Dim_Goal[GoalName],0)),"")</f>
        <v/>
      </c>
      <c r="E30" s="38" t="inlineStr">
        <is>
          <t>Savings</t>
        </is>
      </c>
      <c r="F30" s="38">
        <f>IFERROR(INDEX(Dim_Account[AccountID],MATCH($E30,Dim_Account[AccountName],0)),"")</f>
        <v/>
      </c>
      <c r="G30" s="40" t="n">
        <v>500</v>
      </c>
    </row>
    <row r="31">
      <c r="A31" s="38">
        <f>ROW()-17</f>
        <v/>
      </c>
      <c r="B31" s="39" t="n">
        <v>46098</v>
      </c>
      <c r="C31" s="38" t="inlineStr">
        <is>
          <t>Vacation</t>
        </is>
      </c>
      <c r="D31" s="38">
        <f>IFERROR(INDEX(Dim_Goal[GoalID],MATCH($C31,Dim_Goal[GoalName],0)),"")</f>
        <v/>
      </c>
      <c r="E31" s="38" t="inlineStr">
        <is>
          <t>Savings</t>
        </is>
      </c>
      <c r="F31" s="38">
        <f>IFERROR(INDEX(Dim_Account[AccountID],MATCH($E31,Dim_Account[AccountName],0)),"")</f>
        <v/>
      </c>
      <c r="G31" s="40" t="n">
        <v>150</v>
      </c>
    </row>
    <row r="32">
      <c r="A32" s="38">
        <f>ROW()-17</f>
        <v/>
      </c>
      <c r="B32" s="39" t="n">
        <v>46115</v>
      </c>
      <c r="C32" s="38" t="inlineStr">
        <is>
          <t>Emergency Fund</t>
        </is>
      </c>
      <c r="D32" s="38">
        <f>IFERROR(INDEX(Dim_Goal[GoalID],MATCH($C32,Dim_Goal[GoalName],0)),"")</f>
        <v/>
      </c>
      <c r="E32" s="38" t="inlineStr">
        <is>
          <t>Savings</t>
        </is>
      </c>
      <c r="F32" s="38">
        <f>IFERROR(INDEX(Dim_Account[AccountID],MATCH($E32,Dim_Account[AccountName],0)),"")</f>
        <v/>
      </c>
      <c r="G32" s="40" t="n">
        <v>500</v>
      </c>
    </row>
    <row r="33">
      <c r="A33" s="38">
        <f>ROW()-17</f>
        <v/>
      </c>
      <c r="B33" s="39" t="n">
        <v>46132</v>
      </c>
      <c r="C33" s="38" t="inlineStr">
        <is>
          <t>New Car</t>
        </is>
      </c>
      <c r="D33" s="38">
        <f>IFERROR(INDEX(Dim_Goal[GoalID],MATCH($C33,Dim_Goal[GoalName],0)),"")</f>
        <v/>
      </c>
      <c r="E33" s="38" t="inlineStr">
        <is>
          <t>Savings</t>
        </is>
      </c>
      <c r="F33" s="38">
        <f>IFERROR(INDEX(Dim_Account[AccountID],MATCH($E33,Dim_Account[AccountName],0)),"")</f>
        <v/>
      </c>
      <c r="G33" s="40" t="n">
        <v>200</v>
      </c>
    </row>
    <row r="34">
      <c r="A34" s="38">
        <f>ROW()-17</f>
        <v/>
      </c>
      <c r="B34" s="39" t="n">
        <v>46145</v>
      </c>
      <c r="C34" s="38" t="inlineStr">
        <is>
          <t>Emergency Fund</t>
        </is>
      </c>
      <c r="D34" s="38">
        <f>IFERROR(INDEX(Dim_Goal[GoalID],MATCH($C34,Dim_Goal[GoalName],0)),"")</f>
        <v/>
      </c>
      <c r="E34" s="38" t="inlineStr">
        <is>
          <t>Savings</t>
        </is>
      </c>
      <c r="F34" s="38">
        <f>IFERROR(INDEX(Dim_Account[AccountID],MATCH($E34,Dim_Account[AccountName],0)),"")</f>
        <v/>
      </c>
      <c r="G34" s="40" t="n">
        <v>500</v>
      </c>
    </row>
    <row r="35">
      <c r="A35" s="38">
        <f>ROW()-17</f>
        <v/>
      </c>
      <c r="B35" s="39" t="n">
        <v>46159</v>
      </c>
      <c r="C35" s="38" t="inlineStr">
        <is>
          <t>Vacation</t>
        </is>
      </c>
      <c r="D35" s="38">
        <f>IFERROR(INDEX(Dim_Goal[GoalID],MATCH($C35,Dim_Goal[GoalName],0)),"")</f>
        <v/>
      </c>
      <c r="E35" s="38" t="inlineStr">
        <is>
          <t>Savings</t>
        </is>
      </c>
      <c r="F35" s="38">
        <f>IFERROR(INDEX(Dim_Account[AccountID],MATCH($E35,Dim_Account[AccountName],0)),"")</f>
        <v/>
      </c>
      <c r="G35" s="40" t="n">
        <v>150</v>
      </c>
    </row>
    <row r="36">
      <c r="A36" s="38">
        <f>ROW()-17</f>
        <v/>
      </c>
      <c r="B36" s="39" t="n">
        <v>46176</v>
      </c>
      <c r="C36" s="38" t="inlineStr">
        <is>
          <t>Emergency Fund</t>
        </is>
      </c>
      <c r="D36" s="38">
        <f>IFERROR(INDEX(Dim_Goal[GoalID],MATCH($C36,Dim_Goal[GoalName],0)),"")</f>
        <v/>
      </c>
      <c r="E36" s="38" t="inlineStr">
        <is>
          <t>Savings</t>
        </is>
      </c>
      <c r="F36" s="38">
        <f>IFERROR(INDEX(Dim_Account[AccountID],MATCH($E36,Dim_Account[AccountName],0)),"")</f>
        <v/>
      </c>
      <c r="G36" s="40" t="n">
        <v>500</v>
      </c>
    </row>
    <row r="37">
      <c r="A37" s="38">
        <f>ROW()-17</f>
        <v/>
      </c>
      <c r="B37" s="39" t="n">
        <v>46206</v>
      </c>
      <c r="C37" s="38" t="inlineStr">
        <is>
          <t>Emergency Fund</t>
        </is>
      </c>
      <c r="D37" s="38">
        <f>IFERROR(INDEX(Dim_Goal[GoalID],MATCH($C37,Dim_Goal[GoalName],0)),"")</f>
        <v/>
      </c>
      <c r="E37" s="38" t="inlineStr">
        <is>
          <t>Savings</t>
        </is>
      </c>
      <c r="F37" s="38">
        <f>IFERROR(INDEX(Dim_Account[AccountID],MATCH($E37,Dim_Account[AccountName],0)),"")</f>
        <v/>
      </c>
      <c r="G37" s="40" t="n">
        <v>500</v>
      </c>
    </row>
    <row r="38">
      <c r="A38" s="38">
        <f>ROW()-17</f>
        <v/>
      </c>
      <c r="B38" s="39" t="n">
        <v>46220</v>
      </c>
      <c r="C38" s="38" t="inlineStr">
        <is>
          <t>Vacation</t>
        </is>
      </c>
      <c r="D38" s="38">
        <f>IFERROR(INDEX(Dim_Goal[GoalID],MATCH($C38,Dim_Goal[GoalName],0)),"")</f>
        <v/>
      </c>
      <c r="E38" s="38" t="inlineStr">
        <is>
          <t>Savings</t>
        </is>
      </c>
      <c r="F38" s="38">
        <f>IFERROR(INDEX(Dim_Account[AccountID],MATCH($E38,Dim_Account[AccountName],0)),"")</f>
        <v/>
      </c>
      <c r="G38" s="40" t="n">
        <v>150</v>
      </c>
    </row>
    <row r="39">
      <c r="A39" s="38">
        <f>ROW()-17</f>
        <v/>
      </c>
      <c r="B39" s="39" t="n">
        <v>46223</v>
      </c>
      <c r="C39" s="38" t="inlineStr">
        <is>
          <t>New Car</t>
        </is>
      </c>
      <c r="D39" s="38">
        <f>IFERROR(INDEX(Dim_Goal[GoalID],MATCH($C39,Dim_Goal[GoalName],0)),"")</f>
        <v/>
      </c>
      <c r="E39" s="38" t="inlineStr">
        <is>
          <t>Savings</t>
        </is>
      </c>
      <c r="F39" s="38">
        <f>IFERROR(INDEX(Dim_Account[AccountID],MATCH($E39,Dim_Account[AccountName],0)),"")</f>
        <v/>
      </c>
      <c r="G39" s="40" t="n">
        <v>200</v>
      </c>
    </row>
  </sheetData>
  <mergeCells count="9">
    <mergeCell ref="A16:F16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:H13">
    <cfRule type="dataBar" priority="1">
      <dataBar>
        <cfvo type="num" val="0"/>
        <cfvo type="num" val="1"/>
        <color rgb="002563EB"/>
      </dataBar>
    </cfRule>
    <cfRule type="cellIs" priority="2" operator="greaterThanOrEqual" dxfId="6">
      <formula>1</formula>
    </cfRule>
  </conditionalFormatting>
  <dataValidations count="3">
    <dataValidation sqref="E11:E63" showDropDown="0" showInputMessage="0" showErrorMessage="1" allowBlank="1" errorTitle="Invalid Entry" error="Please choose a value from the dropdown list." type="list">
      <formula1>"High,Medium,Low"</formula1>
    </dataValidation>
    <dataValidation sqref="C18:C189" showDropDown="0" showInputMessage="0" showErrorMessage="1" allowBlank="1" errorTitle="Invalid Entry" error="Please choose a value from the dropdown list." type="list">
      <formula1>=Dim_Goal[GoalName]</formula1>
    </dataValidation>
    <dataValidation sqref="E18:E189" showDropDown="0" showInputMessage="0" showErrorMessage="1" allowBlank="1" errorTitle="Invalid Entry" error="Please choose a value from the dropdown list." type="list">
      <formula1>=AccountNameList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40">
        <f>SUMIFS(Fact_Expenses[Amount],Fact_Expenses[CategoryName],$A11,Fact_Expenses[Date],"&gt;="&amp;CurMonthStart,Fact_Expenses[Date],"&lt;="&amp;CurMonthEnd)</f>
        <v/>
      </c>
      <c r="D11" s="40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320</v>
      </c>
      <c r="C12" s="40">
        <f>SUMIFS(Fact_Expenses[Amount],Fact_Expenses[CategoryName],$A12,Fact_Expenses[Date],"&gt;="&amp;CurMonthStart,Fact_Expenses[Date],"&lt;="&amp;CurMonthEnd)</f>
        <v/>
      </c>
      <c r="D12" s="40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Car</t>
        </is>
      </c>
      <c r="B13" s="42" t="n">
        <v>250</v>
      </c>
      <c r="C13" s="40">
        <f>SUMIFS(Fact_Expenses[Amount],Fact_Expenses[CategoryName],$A13,Fact_Expenses[Date],"&gt;="&amp;CurMonthStart,Fact_Expenses[Date],"&lt;="&amp;CurMonthEnd)</f>
        <v/>
      </c>
      <c r="D13" s="40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Groceries</t>
        </is>
      </c>
      <c r="B14" s="42" t="n">
        <v>650</v>
      </c>
      <c r="C14" s="40">
        <f>SUMIFS(Fact_Expenses[Amount],Fact_Expenses[CategoryName],$A14,Fact_Expenses[Date],"&gt;="&amp;CurMonthStart,Fact_Expenses[Date],"&lt;="&amp;CurMonthEnd)</f>
        <v/>
      </c>
      <c r="D14" s="40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Insurance</t>
        </is>
      </c>
      <c r="B15" s="42" t="n">
        <v>300</v>
      </c>
      <c r="C15" s="40">
        <f>SUMIFS(Fact_Expenses[Amount],Fact_Expenses[CategoryName],$A15,Fact_Expenses[Date],"&gt;="&amp;CurMonthStart,Fact_Expenses[Date],"&lt;="&amp;CurMonthEnd)</f>
        <v/>
      </c>
      <c r="D15" s="40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Healthcare</t>
        </is>
      </c>
      <c r="B16" s="42" t="n">
        <v>150</v>
      </c>
      <c r="C16" s="40">
        <f>SUMIFS(Fact_Expenses[Amount],Fact_Expenses[CategoryName],$A16,Fact_Expenses[Date],"&gt;="&amp;CurMonthStart,Fact_Expenses[Date],"&lt;="&amp;CurMonthEnd)</f>
        <v/>
      </c>
      <c r="D16" s="40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Dining &amp; Entertainment</t>
        </is>
      </c>
      <c r="B17" s="42" t="n">
        <v>200</v>
      </c>
      <c r="C17" s="40">
        <f>SUMIFS(Fact_Expenses[Amount],Fact_Expenses[CategoryName],$A17,Fact_Expenses[Date],"&gt;="&amp;CurMonthStart,Fact_Expenses[Date],"&lt;="&amp;CurMonthEnd)</f>
        <v/>
      </c>
      <c r="D17" s="40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Personal Care</t>
        </is>
      </c>
      <c r="B18" s="42" t="n">
        <v>80</v>
      </c>
      <c r="C18" s="40">
        <f>SUMIFS(Fact_Expenses[Amount],Fact_Expenses[CategoryName],$A18,Fact_Expenses[Date],"&gt;="&amp;CurMonthStart,Fact_Expenses[Date],"&lt;="&amp;CurMonthEnd)</f>
        <v/>
      </c>
      <c r="D18" s="40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Shopping</t>
        </is>
      </c>
      <c r="B19" s="42" t="n">
        <v>200</v>
      </c>
      <c r="C19" s="40">
        <f>SUMIFS(Fact_Expenses[Amount],Fact_Expenses[CategoryName],$A19,Fact_Expenses[Date],"&gt;="&amp;CurMonthStart,Fact_Expenses[Date],"&lt;="&amp;CurMonthEnd)</f>
        <v/>
      </c>
      <c r="D19" s="40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Miscellaneous</t>
        </is>
      </c>
      <c r="B20" s="42" t="n">
        <v>100</v>
      </c>
      <c r="C20" s="40">
        <f>SUMIFS(Fact_Expenses[Amount],Fact_Expenses[CategoryName],$A20,Fact_Expenses[Date],"&gt;="&amp;CurMonthStart,Fact_Expenses[Date],"&lt;="&amp;CurMonthEnd)</f>
        <v/>
      </c>
      <c r="D20" s="40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20">
    <cfRule type="cellIs" priority="1" operator="equal" dxfId="0">
      <formula>"Over Budget"</formula>
    </cfRule>
    <cfRule type="cellIs" priority="2" operator="equal" dxfId="7">
      <formula>"Near Limit"</formula>
    </cfRule>
    <cfRule type="cellIs" priority="3" operator="equal" dxfId="8">
      <formula>"Under Budget"</formula>
    </cfRule>
  </conditionalFormatting>
  <conditionalFormatting sqref="G11:G20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Car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Groceries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Insurance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Healthcare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Dining &amp; Entertainment</t>
        </is>
      </c>
      <c r="C12" s="38" t="inlineStr">
        <is>
          <t>Expense</t>
        </is>
      </c>
      <c r="D12" s="38" t="inlineStr">
        <is>
          <t>No</t>
        </is>
      </c>
    </row>
    <row r="13">
      <c r="A13" s="38" t="n">
        <v>8</v>
      </c>
      <c r="B13" s="38" t="inlineStr">
        <is>
          <t>Personal Care</t>
        </is>
      </c>
      <c r="C13" s="38" t="inlineStr">
        <is>
          <t>Expense</t>
        </is>
      </c>
      <c r="D13" s="38" t="inlineStr">
        <is>
          <t>No</t>
        </is>
      </c>
    </row>
    <row r="14">
      <c r="A14" s="38" t="n">
        <v>9</v>
      </c>
      <c r="B14" s="38" t="inlineStr">
        <is>
          <t>Shopping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Miscellaneous</t>
        </is>
      </c>
      <c r="C15" s="38" t="inlineStr">
        <is>
          <t>Expense</t>
        </is>
      </c>
      <c r="D15" s="38" t="inlineStr">
        <is>
          <t>No</t>
        </is>
      </c>
    </row>
    <row r="16">
      <c r="A16" s="38" t="n">
        <v>11</v>
      </c>
      <c r="B16" s="38" t="inlineStr">
        <is>
          <t>Payroll</t>
        </is>
      </c>
      <c r="C16" s="38" t="inlineStr">
        <is>
          <t>Income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Other Income</t>
        </is>
      </c>
      <c r="C17" s="38" t="inlineStr">
        <is>
          <t>Income</t>
        </is>
      </c>
      <c r="D17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hidden="1" width="18" customWidth="1" min="3" max="3"/>
    <col width="15" customWidth="1" min="4" max="4"/>
    <col width="13" customWidth="1" min="5" max="5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here to make a new vendor available in Expenses</t>
        </is>
      </c>
      <c r="B4" s="2" t="n"/>
      <c r="C4" s="2" t="n"/>
      <c r="D4" s="2" t="n"/>
      <c r="E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DefaultCategoryID</t>
        </is>
      </c>
      <c r="D5" s="36" t="inlineStr">
        <is>
          <t>CurMonthSpend</t>
        </is>
      </c>
      <c r="E5" s="36" t="inlineStr">
        <is>
          <t>YTDSpend</t>
        </is>
      </c>
    </row>
    <row r="6">
      <c r="A6" s="38" t="n">
        <v>1</v>
      </c>
      <c r="B6" s="38" t="inlineStr">
        <is>
          <t>Mortgage Lender</t>
        </is>
      </c>
      <c r="C6" s="38" t="n">
        <v>1</v>
      </c>
      <c r="D6" s="40">
        <f>SUMIFS(Fact_Expenses[Amount],Fact_Expenses[VendorName],$B6,Fact_Expenses[Date],"&gt;="&amp;CurMonthStart,Fact_Expenses[Date],"&lt;="&amp;CurMonthEnd)</f>
        <v/>
      </c>
      <c r="E6" s="40">
        <f>SUMIFS(Fact_Expenses[Amount],Fact_Expenses[VendorName],$B6,Fact_Expenses[Date],"&gt;="&amp;CurYearStart,Fact_Expenses[Date],"&lt;="&amp;CurYearEnd)</f>
        <v/>
      </c>
    </row>
    <row r="7">
      <c r="A7" s="38" t="n">
        <v>2</v>
      </c>
      <c r="B7" s="38" t="inlineStr">
        <is>
          <t>City Electric Co</t>
        </is>
      </c>
      <c r="C7" s="38" t="n">
        <v>2</v>
      </c>
      <c r="D7" s="40">
        <f>SUMIFS(Fact_Expenses[Amount],Fact_Expenses[VendorName],$B7,Fact_Expenses[Date],"&gt;="&amp;CurMonthStart,Fact_Expenses[Date],"&lt;="&amp;CurMonthEnd)</f>
        <v/>
      </c>
      <c r="E7" s="40">
        <f>SUMIFS(Fact_Expenses[Amount],Fact_Expenses[VendorName],$B7,Fact_Expenses[Date],"&gt;="&amp;CurYearStart,Fact_Expenses[Date],"&lt;="&amp;CurYearEnd)</f>
        <v/>
      </c>
    </row>
    <row r="8">
      <c r="A8" s="38" t="n">
        <v>3</v>
      </c>
      <c r="B8" s="38" t="inlineStr">
        <is>
          <t>Comcast Xfinity</t>
        </is>
      </c>
      <c r="C8" s="38" t="n">
        <v>2</v>
      </c>
      <c r="D8" s="40">
        <f>SUMIFS(Fact_Expenses[Amount],Fact_Expenses[VendorName],$B8,Fact_Expenses[Date],"&gt;="&amp;CurMonthStart,Fact_Expenses[Date],"&lt;="&amp;CurMonthEnd)</f>
        <v/>
      </c>
      <c r="E8" s="40">
        <f>SUMIFS(Fact_Expenses[Amount],Fact_Expenses[VendorName],$B8,Fact_Expenses[Date],"&gt;="&amp;CurYearStart,Fact_Expenses[Date],"&lt;="&amp;CurYearEnd)</f>
        <v/>
      </c>
    </row>
    <row r="9">
      <c r="A9" s="38" t="n">
        <v>4</v>
      </c>
      <c r="B9" s="38" t="inlineStr">
        <is>
          <t>Verizon Wireless</t>
        </is>
      </c>
      <c r="C9" s="38" t="n">
        <v>2</v>
      </c>
      <c r="D9" s="40">
        <f>SUMIFS(Fact_Expenses[Amount],Fact_Expenses[VendorName],$B9,Fact_Expenses[Date],"&gt;="&amp;CurMonthStart,Fact_Expenses[Date],"&lt;="&amp;CurMonthEnd)</f>
        <v/>
      </c>
      <c r="E9" s="40">
        <f>SUMIFS(Fact_Expenses[Amount],Fact_Expenses[VendorName],$B9,Fact_Expenses[Date],"&gt;="&amp;CurYearStart,Fact_Expenses[Date],"&lt;="&amp;CurYearEnd)</f>
        <v/>
      </c>
    </row>
    <row r="10">
      <c r="A10" s="38" t="n">
        <v>5</v>
      </c>
      <c r="B10" s="38" t="inlineStr">
        <is>
          <t>Shell Gas Station</t>
        </is>
      </c>
      <c r="C10" s="38" t="n">
        <v>3</v>
      </c>
      <c r="D10" s="40">
        <f>SUMIFS(Fact_Expenses[Amount],Fact_Expenses[VendorName],$B10,Fact_Expenses[Date],"&gt;="&amp;CurMonthStart,Fact_Expenses[Date],"&lt;="&amp;CurMonthEnd)</f>
        <v/>
      </c>
      <c r="E10" s="40">
        <f>SUMIFS(Fact_Expenses[Amount],Fact_Expenses[VendorName],$B10,Fact_Expenses[Date],"&gt;="&amp;CurYearStart,Fact_Expenses[Date],"&lt;="&amp;CurYearEnd)</f>
        <v/>
      </c>
    </row>
    <row r="11">
      <c r="A11" s="38" t="n">
        <v>6</v>
      </c>
      <c r="B11" s="38" t="inlineStr">
        <is>
          <t>AutoZone</t>
        </is>
      </c>
      <c r="C11" s="38" t="n">
        <v>3</v>
      </c>
      <c r="D11" s="40">
        <f>SUMIFS(Fact_Expenses[Amount],Fact_Expenses[VendorName],$B11,Fact_Expenses[Date],"&gt;="&amp;CurMonthStart,Fact_Expenses[Date],"&lt;="&amp;CurMonthEnd)</f>
        <v/>
      </c>
      <c r="E11" s="40">
        <f>SUMIFS(Fact_Expenses[Amount],Fact_Expenses[VendorName],$B11,Fact_Expenses[Date],"&gt;="&amp;CurYearStart,Fact_Expenses[Date],"&lt;="&amp;CurYearEnd)</f>
        <v/>
      </c>
    </row>
    <row r="12">
      <c r="A12" s="38" t="n">
        <v>7</v>
      </c>
      <c r="B12" s="38" t="inlineStr">
        <is>
          <t>Whole Foods</t>
        </is>
      </c>
      <c r="C12" s="38" t="n">
        <v>4</v>
      </c>
      <c r="D12" s="40">
        <f>SUMIFS(Fact_Expenses[Amount],Fact_Expenses[VendorName],$B12,Fact_Expenses[Date],"&gt;="&amp;CurMonthStart,Fact_Expenses[Date],"&lt;="&amp;CurMonthEnd)</f>
        <v/>
      </c>
      <c r="E12" s="40">
        <f>SUMIFS(Fact_Expenses[Amount],Fact_Expenses[VendorName],$B12,Fact_Expenses[Date],"&gt;="&amp;CurYearStart,Fact_Expenses[Date],"&lt;="&amp;CurYearEnd)</f>
        <v/>
      </c>
    </row>
    <row r="13">
      <c r="A13" s="38" t="n">
        <v>8</v>
      </c>
      <c r="B13" s="38" t="inlineStr">
        <is>
          <t>Costco</t>
        </is>
      </c>
      <c r="C13" s="38" t="n">
        <v>4</v>
      </c>
      <c r="D13" s="40">
        <f>SUMIFS(Fact_Expenses[Amount],Fact_Expenses[VendorName],$B13,Fact_Expenses[Date],"&gt;="&amp;CurMonthStart,Fact_Expenses[Date],"&lt;="&amp;CurMonthEnd)</f>
        <v/>
      </c>
      <c r="E13" s="40">
        <f>SUMIFS(Fact_Expenses[Amount],Fact_Expenses[VendorName],$B13,Fact_Expenses[Date],"&gt;="&amp;CurYearStart,Fact_Expenses[Date],"&lt;="&amp;CurYearEnd)</f>
        <v/>
      </c>
    </row>
    <row r="14">
      <c r="A14" s="38" t="n">
        <v>9</v>
      </c>
      <c r="B14" s="38" t="inlineStr">
        <is>
          <t>State Farm Insurance</t>
        </is>
      </c>
      <c r="C14" s="38" t="n">
        <v>5</v>
      </c>
      <c r="D14" s="40">
        <f>SUMIFS(Fact_Expenses[Amount],Fact_Expenses[VendorName],$B14,Fact_Expenses[Date],"&gt;="&amp;CurMonthStart,Fact_Expenses[Date],"&lt;="&amp;CurMonthEnd)</f>
        <v/>
      </c>
      <c r="E14" s="40">
        <f>SUMIFS(Fact_Expenses[Amount],Fact_Expenses[VendorName],$B14,Fact_Expenses[Date],"&gt;="&amp;CurYearStart,Fact_Expenses[Date],"&lt;="&amp;CurYearEnd)</f>
        <v/>
      </c>
    </row>
    <row r="15">
      <c r="A15" s="38" t="n">
        <v>10</v>
      </c>
      <c r="B15" s="38" t="inlineStr">
        <is>
          <t>Kaiser Permanente</t>
        </is>
      </c>
      <c r="C15" s="38" t="n">
        <v>6</v>
      </c>
      <c r="D15" s="40">
        <f>SUMIFS(Fact_Expenses[Amount],Fact_Expenses[VendorName],$B15,Fact_Expenses[Date],"&gt;="&amp;CurMonthStart,Fact_Expenses[Date],"&lt;="&amp;CurMonthEnd)</f>
        <v/>
      </c>
      <c r="E15" s="40">
        <f>SUMIFS(Fact_Expenses[Amount],Fact_Expenses[VendorName],$B15,Fact_Expenses[Date],"&gt;="&amp;CurYearStart,Fact_Expenses[Date],"&lt;="&amp;CurYearEnd)</f>
        <v/>
      </c>
    </row>
    <row r="16">
      <c r="A16" s="38" t="n">
        <v>11</v>
      </c>
      <c r="B16" s="38" t="inlineStr">
        <is>
          <t>Chipotle</t>
        </is>
      </c>
      <c r="C16" s="38" t="n">
        <v>7</v>
      </c>
      <c r="D16" s="40">
        <f>SUMIFS(Fact_Expenses[Amount],Fact_Expenses[VendorName],$B16,Fact_Expenses[Date],"&gt;="&amp;CurMonthStart,Fact_Expenses[Date],"&lt;="&amp;CurMonthEnd)</f>
        <v/>
      </c>
      <c r="E16" s="40">
        <f>SUMIFS(Fact_Expenses[Amount],Fact_Expenses[VendorName],$B16,Fact_Expenses[Date],"&gt;="&amp;CurYearStart,Fact_Expenses[Date],"&lt;="&amp;CurYearEnd)</f>
        <v/>
      </c>
    </row>
    <row r="17">
      <c r="A17" s="38" t="n">
        <v>12</v>
      </c>
      <c r="B17" s="38" t="inlineStr">
        <is>
          <t>Netflix</t>
        </is>
      </c>
      <c r="C17" s="38" t="n">
        <v>7</v>
      </c>
      <c r="D17" s="40">
        <f>SUMIFS(Fact_Expenses[Amount],Fact_Expenses[VendorName],$B17,Fact_Expenses[Date],"&gt;="&amp;CurMonthStart,Fact_Expenses[Date],"&lt;="&amp;CurMonthEnd)</f>
        <v/>
      </c>
      <c r="E17" s="40">
        <f>SUMIFS(Fact_Expenses[Amount],Fact_Expenses[VendorName],$B17,Fact_Expenses[Date],"&gt;="&amp;CurYearStart,Fact_Expenses[Date],"&lt;="&amp;CurYearEnd)</f>
        <v/>
      </c>
    </row>
    <row r="18">
      <c r="A18" s="38" t="n">
        <v>13</v>
      </c>
      <c r="B18" s="38" t="inlineStr">
        <is>
          <t>AMC Theatres</t>
        </is>
      </c>
      <c r="C18" s="38" t="n">
        <v>7</v>
      </c>
      <c r="D18" s="40">
        <f>SUMIFS(Fact_Expenses[Amount],Fact_Expenses[VendorName],$B18,Fact_Expenses[Date],"&gt;="&amp;CurMonthStart,Fact_Expenses[Date],"&lt;="&amp;CurMonthEnd)</f>
        <v/>
      </c>
      <c r="E18" s="40">
        <f>SUMIFS(Fact_Expenses[Amount],Fact_Expenses[VendorName],$B18,Fact_Expenses[Date],"&gt;="&amp;CurYearStart,Fact_Expenses[Date],"&lt;="&amp;CurYearEnd)</f>
        <v/>
      </c>
    </row>
    <row r="19">
      <c r="A19" s="38" t="n">
        <v>14</v>
      </c>
      <c r="B19" s="38" t="inlineStr">
        <is>
          <t>Planet Fitness</t>
        </is>
      </c>
      <c r="C19" s="38" t="n">
        <v>8</v>
      </c>
      <c r="D19" s="40">
        <f>SUMIFS(Fact_Expenses[Amount],Fact_Expenses[VendorName],$B19,Fact_Expenses[Date],"&gt;="&amp;CurMonthStart,Fact_Expenses[Date],"&lt;="&amp;CurMonthEnd)</f>
        <v/>
      </c>
      <c r="E19" s="40">
        <f>SUMIFS(Fact_Expenses[Amount],Fact_Expenses[VendorName],$B19,Fact_Expenses[Date],"&gt;="&amp;CurYearStart,Fact_Expenses[Date],"&lt;="&amp;CurYearEnd)</f>
        <v/>
      </c>
    </row>
    <row r="20">
      <c r="A20" s="38" t="n">
        <v>15</v>
      </c>
      <c r="B20" s="38" t="inlineStr">
        <is>
          <t>Amazon</t>
        </is>
      </c>
      <c r="C20" s="38" t="n">
        <v>9</v>
      </c>
      <c r="D20" s="40">
        <f>SUMIFS(Fact_Expenses[Amount],Fact_Expenses[VendorName],$B20,Fact_Expenses[Date],"&gt;="&amp;CurMonthStart,Fact_Expenses[Date],"&lt;="&amp;CurMonthEnd)</f>
        <v/>
      </c>
      <c r="E20" s="40">
        <f>SUMIFS(Fact_Expenses[Amount],Fact_Expenses[VendorName],$B20,Fact_Expenses[Date],"&gt;="&amp;CurYearStart,Fact_Expenses[Date],"&lt;="&amp;CurYearEnd)</f>
        <v/>
      </c>
    </row>
    <row r="21">
      <c r="A21" s="38" t="n">
        <v>16</v>
      </c>
      <c r="B21" s="38" t="inlineStr">
        <is>
          <t>Target</t>
        </is>
      </c>
      <c r="C21" s="38" t="n">
        <v>9</v>
      </c>
      <c r="D21" s="40">
        <f>SUMIFS(Fact_Expenses[Amount],Fact_Expenses[VendorName],$B21,Fact_Expenses[Date],"&gt;="&amp;CurMonthStart,Fact_Expenses[Date],"&lt;="&amp;CurMonthEnd)</f>
        <v/>
      </c>
      <c r="E21" s="40">
        <f>SUMIFS(Fact_Expenses[Amount],Fact_Expenses[VendorName],$B21,Fact_Expenses[Date],"&gt;="&amp;CurYearStart,Fact_Expenses[Date],"&lt;="&amp;CurYearEnd)</f>
        <v/>
      </c>
    </row>
    <row r="22">
      <c r="A22" s="38" t="n">
        <v>17</v>
      </c>
      <c r="B22" s="38" t="inlineStr">
        <is>
          <t>Employer Payroll Inc</t>
        </is>
      </c>
      <c r="C22" s="38" t="n">
        <v>11</v>
      </c>
      <c r="D22" s="40">
        <f>SUMIFS(Fact_Expenses[Amount],Fact_Expenses[VendorName],$B22,Fact_Expenses[Date],"&gt;="&amp;CurMonthStart,Fact_Expenses[Date],"&lt;="&amp;CurMonthEnd)</f>
        <v/>
      </c>
      <c r="E22" s="40">
        <f>SUMIFS(Fact_Expenses[Amount],Fact_Expenses[VendorName],$B22,Fact_Expenses[Date],"&gt;="&amp;CurYearStart,Fact_Expenses[Date],"&lt;="&amp;CurYearEnd)</f>
        <v/>
      </c>
    </row>
  </sheetData>
  <mergeCells count="2">
    <mergeCell ref="A4:E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</t>
        </is>
      </c>
      <c r="C6" s="38" t="inlineStr">
        <is>
          <t>Checking</t>
        </is>
      </c>
      <c r="D6" s="42" t="n">
        <v>4820.55</v>
      </c>
    </row>
    <row r="7">
      <c r="A7" s="38" t="n">
        <v>2</v>
      </c>
      <c r="B7" s="38" t="inlineStr">
        <is>
          <t>Savings</t>
        </is>
      </c>
      <c r="C7" s="38" t="inlineStr">
        <is>
          <t>Savings</t>
        </is>
      </c>
      <c r="D7" s="42" t="n">
        <v>18250</v>
      </c>
    </row>
    <row r="8">
      <c r="A8" s="38" t="n">
        <v>3</v>
      </c>
      <c r="B8" s="38" t="inlineStr">
        <is>
          <t>Credit Card</t>
        </is>
      </c>
      <c r="C8" s="38" t="inlineStr">
        <is>
          <t>Credit Card</t>
        </is>
      </c>
      <c r="D8" s="42" t="n">
        <v>-1240.33</v>
      </c>
    </row>
    <row r="11" ht="20" customHeight="1">
      <c r="A11" s="26" t="inlineStr">
        <is>
          <t>Account Totals</t>
        </is>
      </c>
      <c r="B11" s="2" t="n"/>
      <c r="C11" s="2" t="n"/>
      <c r="D11" s="2" t="n"/>
    </row>
    <row r="12">
      <c r="A12" s="19" t="inlineStr">
        <is>
          <t>Total All Accounts</t>
        </is>
      </c>
      <c r="B12" s="43">
        <f>SUM(Dim_Account[Balance])</f>
        <v/>
      </c>
    </row>
  </sheetData>
  <mergeCells count="3">
    <mergeCell ref="A4:D4"/>
    <mergeCell ref="A1:F2"/>
    <mergeCell ref="A11:D1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44" t="inlineStr">
        <is>
          <t>Today's Date</t>
        </is>
      </c>
      <c r="B5" s="45">
        <f>TODAY()</f>
        <v/>
      </c>
    </row>
    <row r="6">
      <c r="A6" s="44" t="inlineStr">
        <is>
          <t>Current Month Start</t>
        </is>
      </c>
      <c r="B6" s="45">
        <f>EOMONTH(TodayDate,-1)+1</f>
        <v/>
      </c>
    </row>
    <row r="7">
      <c r="A7" s="44" t="inlineStr">
        <is>
          <t>Current Month End</t>
        </is>
      </c>
      <c r="B7" s="45">
        <f>EOMONTH(TodayDate,0)</f>
        <v/>
      </c>
    </row>
    <row r="8">
      <c r="A8" s="44" t="inlineStr">
        <is>
          <t>Last Month Start</t>
        </is>
      </c>
      <c r="B8" s="45">
        <f>EOMONTH(TodayDate,-2)+1</f>
        <v/>
      </c>
    </row>
    <row r="9">
      <c r="A9" s="44" t="inlineStr">
        <is>
          <t>Last Month End</t>
        </is>
      </c>
      <c r="B9" s="45">
        <f>EOMONTH(TodayDate,-1)</f>
        <v/>
      </c>
    </row>
    <row r="10">
      <c r="A10" s="44" t="inlineStr">
        <is>
          <t>Current Year Start</t>
        </is>
      </c>
      <c r="B10" s="45">
        <f>DATE(YEAR(TodayDate),1,1)</f>
        <v/>
      </c>
    </row>
    <row r="11">
      <c r="A11" s="44" t="inlineStr">
        <is>
          <t>Current Year End</t>
        </is>
      </c>
      <c r="B11" s="45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6" t="inlineStr">
        <is>
          <t>List_YesNo</t>
        </is>
      </c>
      <c r="B24" s="46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DateID</t>
        </is>
      </c>
      <c r="B1" s="46" t="inlineStr">
        <is>
          <t>Date</t>
        </is>
      </c>
      <c r="C1" s="46" t="inlineStr">
        <is>
          <t>Month</t>
        </is>
      </c>
      <c r="D1" s="46" t="inlineStr">
        <is>
          <t>MonthNumber</t>
        </is>
      </c>
      <c r="E1" s="46" t="inlineStr">
        <is>
          <t>Quarter</t>
        </is>
      </c>
      <c r="F1" s="46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Month</t>
        </is>
      </c>
      <c r="B1" s="46" t="inlineStr">
        <is>
          <t>MonthEnd</t>
        </is>
      </c>
      <c r="C1" s="46" t="inlineStr">
        <is>
          <t>Income</t>
        </is>
      </c>
      <c r="D1" s="46" t="inlineStr">
        <is>
          <t>Expenses</t>
        </is>
      </c>
      <c r="E1" s="46" t="inlineStr">
        <is>
          <t>NetSavings</t>
        </is>
      </c>
      <c r="F1" s="46" t="inlineStr">
        <is>
          <t>CumSavings</t>
        </is>
      </c>
    </row>
    <row r="2">
      <c r="A2" s="47">
        <f>EDATE(TodayDate,-12)</f>
        <v/>
      </c>
      <c r="B2" s="37">
        <f>EOMONTH(A2,0)</f>
        <v/>
      </c>
      <c r="C2" s="48">
        <f>SUMIFS(Fact_Income[NetAmount],Fact_Income[Date],"&gt;="&amp;EOMONTH(A2,-1)+1,Fact_Income[Date],"&lt;="&amp;B2)</f>
        <v/>
      </c>
      <c r="D2" s="48">
        <f>SUMIFS(Fact_Expenses[Amount],Fact_Expenses[Date],"&gt;="&amp;EOMONTH(A2,-1)+1,Fact_Expenses[Date],"&lt;="&amp;B2)</f>
        <v/>
      </c>
      <c r="E2" s="48">
        <f>C2-D2</f>
        <v/>
      </c>
      <c r="F2" s="48">
        <f>SUM($E$2:E2)</f>
        <v/>
      </c>
    </row>
    <row r="3">
      <c r="A3" s="47">
        <f>EDATE(TodayDate,-11)</f>
        <v/>
      </c>
      <c r="B3" s="37">
        <f>EOMONTH(A3,0)</f>
        <v/>
      </c>
      <c r="C3" s="48">
        <f>SUMIFS(Fact_Income[NetAmount],Fact_Income[Date],"&gt;="&amp;EOMONTH(A3,-1)+1,Fact_Income[Date],"&lt;="&amp;B3)</f>
        <v/>
      </c>
      <c r="D3" s="48">
        <f>SUMIFS(Fact_Expenses[Amount],Fact_Expenses[Date],"&gt;="&amp;EOMONTH(A3,-1)+1,Fact_Expenses[Date],"&lt;="&amp;B3)</f>
        <v/>
      </c>
      <c r="E3" s="48">
        <f>C3-D3</f>
        <v/>
      </c>
      <c r="F3" s="48">
        <f>SUM($E$2:E3)</f>
        <v/>
      </c>
    </row>
    <row r="4">
      <c r="A4" s="47">
        <f>EDATE(TodayDate,-10)</f>
        <v/>
      </c>
      <c r="B4" s="37">
        <f>EOMONTH(A4,0)</f>
        <v/>
      </c>
      <c r="C4" s="48">
        <f>SUMIFS(Fact_Income[NetAmount],Fact_Income[Date],"&gt;="&amp;EOMONTH(A4,-1)+1,Fact_Income[Date],"&lt;="&amp;B4)</f>
        <v/>
      </c>
      <c r="D4" s="48">
        <f>SUMIFS(Fact_Expenses[Amount],Fact_Expenses[Date],"&gt;="&amp;EOMONTH(A4,-1)+1,Fact_Expenses[Date],"&lt;="&amp;B4)</f>
        <v/>
      </c>
      <c r="E4" s="48">
        <f>C4-D4</f>
        <v/>
      </c>
      <c r="F4" s="48">
        <f>SUM($E$2:E4)</f>
        <v/>
      </c>
    </row>
    <row r="5">
      <c r="A5" s="47">
        <f>EDATE(TodayDate,-9)</f>
        <v/>
      </c>
      <c r="B5" s="37">
        <f>EOMONTH(A5,0)</f>
        <v/>
      </c>
      <c r="C5" s="48">
        <f>SUMIFS(Fact_Income[NetAmount],Fact_Income[Date],"&gt;="&amp;EOMONTH(A5,-1)+1,Fact_Income[Date],"&lt;="&amp;B5)</f>
        <v/>
      </c>
      <c r="D5" s="48">
        <f>SUMIFS(Fact_Expenses[Amount],Fact_Expenses[Date],"&gt;="&amp;EOMONTH(A5,-1)+1,Fact_Expenses[Date],"&lt;="&amp;B5)</f>
        <v/>
      </c>
      <c r="E5" s="48">
        <f>C5-D5</f>
        <v/>
      </c>
      <c r="F5" s="48">
        <f>SUM($E$2:E5)</f>
        <v/>
      </c>
    </row>
    <row r="6">
      <c r="A6" s="47">
        <f>EDATE(TodayDate,-8)</f>
        <v/>
      </c>
      <c r="B6" s="37">
        <f>EOMONTH(A6,0)</f>
        <v/>
      </c>
      <c r="C6" s="48">
        <f>SUMIFS(Fact_Income[NetAmount],Fact_Income[Date],"&gt;="&amp;EOMONTH(A6,-1)+1,Fact_Income[Date],"&lt;="&amp;B6)</f>
        <v/>
      </c>
      <c r="D6" s="48">
        <f>SUMIFS(Fact_Expenses[Amount],Fact_Expenses[Date],"&gt;="&amp;EOMONTH(A6,-1)+1,Fact_Expenses[Date],"&lt;="&amp;B6)</f>
        <v/>
      </c>
      <c r="E6" s="48">
        <f>C6-D6</f>
        <v/>
      </c>
      <c r="F6" s="48">
        <f>SUM($E$2:E6)</f>
        <v/>
      </c>
    </row>
    <row r="7">
      <c r="A7" s="47">
        <f>EDATE(TodayDate,-7)</f>
        <v/>
      </c>
      <c r="B7" s="37">
        <f>EOMONTH(A7,0)</f>
        <v/>
      </c>
      <c r="C7" s="48">
        <f>SUMIFS(Fact_Income[NetAmount],Fact_Income[Date],"&gt;="&amp;EOMONTH(A7,-1)+1,Fact_Income[Date],"&lt;="&amp;B7)</f>
        <v/>
      </c>
      <c r="D7" s="48">
        <f>SUMIFS(Fact_Expenses[Amount],Fact_Expenses[Date],"&gt;="&amp;EOMONTH(A7,-1)+1,Fact_Expenses[Date],"&lt;="&amp;B7)</f>
        <v/>
      </c>
      <c r="E7" s="48">
        <f>C7-D7</f>
        <v/>
      </c>
      <c r="F7" s="48">
        <f>SUM($E$2:E7)</f>
        <v/>
      </c>
    </row>
    <row r="8">
      <c r="A8" s="47">
        <f>EDATE(TodayDate,-6)</f>
        <v/>
      </c>
      <c r="B8" s="37">
        <f>EOMONTH(A8,0)</f>
        <v/>
      </c>
      <c r="C8" s="48">
        <f>SUMIFS(Fact_Income[NetAmount],Fact_Income[Date],"&gt;="&amp;EOMONTH(A8,-1)+1,Fact_Income[Date],"&lt;="&amp;B8)</f>
        <v/>
      </c>
      <c r="D8" s="48">
        <f>SUMIFS(Fact_Expenses[Amount],Fact_Expenses[Date],"&gt;="&amp;EOMONTH(A8,-1)+1,Fact_Expenses[Date],"&lt;="&amp;B8)</f>
        <v/>
      </c>
      <c r="E8" s="48">
        <f>C8-D8</f>
        <v/>
      </c>
      <c r="F8" s="48">
        <f>SUM($E$2:E8)</f>
        <v/>
      </c>
    </row>
    <row r="9">
      <c r="A9" s="47">
        <f>EDATE(TodayDate,-5)</f>
        <v/>
      </c>
      <c r="B9" s="37">
        <f>EOMONTH(A9,0)</f>
        <v/>
      </c>
      <c r="C9" s="48">
        <f>SUMIFS(Fact_Income[NetAmount],Fact_Income[Date],"&gt;="&amp;EOMONTH(A9,-1)+1,Fact_Income[Date],"&lt;="&amp;B9)</f>
        <v/>
      </c>
      <c r="D9" s="48">
        <f>SUMIFS(Fact_Expenses[Amount],Fact_Expenses[Date],"&gt;="&amp;EOMONTH(A9,-1)+1,Fact_Expenses[Date],"&lt;="&amp;B9)</f>
        <v/>
      </c>
      <c r="E9" s="48">
        <f>C9-D9</f>
        <v/>
      </c>
      <c r="F9" s="48">
        <f>SUM($E$2:E9)</f>
        <v/>
      </c>
    </row>
    <row r="10">
      <c r="A10" s="47">
        <f>EDATE(TodayDate,-4)</f>
        <v/>
      </c>
      <c r="B10" s="37">
        <f>EOMONTH(A10,0)</f>
        <v/>
      </c>
      <c r="C10" s="48">
        <f>SUMIFS(Fact_Income[NetAmount],Fact_Income[Date],"&gt;="&amp;EOMONTH(A10,-1)+1,Fact_Income[Date],"&lt;="&amp;B10)</f>
        <v/>
      </c>
      <c r="D10" s="48">
        <f>SUMIFS(Fact_Expenses[Amount],Fact_Expenses[Date],"&gt;="&amp;EOMONTH(A10,-1)+1,Fact_Expenses[Date],"&lt;="&amp;B10)</f>
        <v/>
      </c>
      <c r="E10" s="48">
        <f>C10-D10</f>
        <v/>
      </c>
      <c r="F10" s="48">
        <f>SUM($E$2:E10)</f>
        <v/>
      </c>
    </row>
    <row r="11">
      <c r="A11" s="47">
        <f>EDATE(TodayDate,-3)</f>
        <v/>
      </c>
      <c r="B11" s="37">
        <f>EOMONTH(A11,0)</f>
        <v/>
      </c>
      <c r="C11" s="48">
        <f>SUMIFS(Fact_Income[NetAmount],Fact_Income[Date],"&gt;="&amp;EOMONTH(A11,-1)+1,Fact_Income[Date],"&lt;="&amp;B11)</f>
        <v/>
      </c>
      <c r="D11" s="48">
        <f>SUMIFS(Fact_Expenses[Amount],Fact_Expenses[Date],"&gt;="&amp;EOMONTH(A11,-1)+1,Fact_Expenses[Date],"&lt;="&amp;B11)</f>
        <v/>
      </c>
      <c r="E11" s="48">
        <f>C11-D11</f>
        <v/>
      </c>
      <c r="F11" s="48">
        <f>SUM($E$2:E11)</f>
        <v/>
      </c>
    </row>
    <row r="12">
      <c r="A12" s="47">
        <f>EDATE(TodayDate,-2)</f>
        <v/>
      </c>
      <c r="B12" s="37">
        <f>EOMONTH(A12,0)</f>
        <v/>
      </c>
      <c r="C12" s="48">
        <f>SUMIFS(Fact_Income[NetAmount],Fact_Income[Date],"&gt;="&amp;EOMONTH(A12,-1)+1,Fact_Income[Date],"&lt;="&amp;B12)</f>
        <v/>
      </c>
      <c r="D12" s="48">
        <f>SUMIFS(Fact_Expenses[Amount],Fact_Expenses[Date],"&gt;="&amp;EOMONTH(A12,-1)+1,Fact_Expenses[Date],"&lt;="&amp;B12)</f>
        <v/>
      </c>
      <c r="E12" s="48">
        <f>C12-D12</f>
        <v/>
      </c>
      <c r="F12" s="48">
        <f>SUM($E$2:E12)</f>
        <v/>
      </c>
    </row>
    <row r="13">
      <c r="A13" s="47">
        <f>EDATE(TodayDate,-1)</f>
        <v/>
      </c>
      <c r="B13" s="37">
        <f>EOMONTH(A13,0)</f>
        <v/>
      </c>
      <c r="C13" s="48">
        <f>SUMIFS(Fact_Income[NetAmount],Fact_Income[Date],"&gt;="&amp;EOMONTH(A13,-1)+1,Fact_Income[Date],"&lt;="&amp;B13)</f>
        <v/>
      </c>
      <c r="D13" s="48">
        <f>SUMIFS(Fact_Expenses[Amount],Fact_Expenses[Date],"&gt;="&amp;EOMONTH(A13,-1)+1,Fact_Expenses[Date],"&lt;="&amp;B13)</f>
        <v/>
      </c>
      <c r="E13" s="48">
        <f>C13-D13</f>
        <v/>
      </c>
      <c r="F13" s="48">
        <f>SUM($E$2:E13)</f>
        <v/>
      </c>
    </row>
    <row r="14">
      <c r="A14" s="47">
        <f>EDATE(TodayDate,0)</f>
        <v/>
      </c>
      <c r="B14" s="37">
        <f>EOMONTH(A14,0)</f>
        <v/>
      </c>
      <c r="C14" s="48">
        <f>SUMIFS(Fact_Income[NetAmount],Fact_Income[Date],"&gt;="&amp;EOMONTH(A14,-1)+1,Fact_Income[Date],"&lt;="&amp;B14)</f>
        <v/>
      </c>
      <c r="D14" s="48">
        <f>SUMIFS(Fact_Expenses[Amount],Fact_Expenses[Date],"&gt;="&amp;EOMONTH(A14,-1)+1,Fact_Expenses[Date],"&lt;="&amp;B14)</f>
        <v/>
      </c>
      <c r="E14" s="48">
        <f>C14-D14</f>
        <v/>
      </c>
      <c r="F14" s="48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2026-07-30T14:35:30Z</dcterms:created>
  <dcterms:modified xsi:type="dcterms:W3CDTF">2026-07-30T14:35:31Z</dcterms:modified>
</cp:coreProperties>
</file>